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ms" sheetId="1" state="visible" r:id="rId1"/>
    <sheet xmlns:r="http://schemas.openxmlformats.org/officeDocument/2006/relationships" name="Résumé" sheetId="2" state="visible" r:id="rId2"/>
    <sheet xmlns:r="http://schemas.openxmlformats.org/officeDocument/2006/relationships" name="Méthod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1155CC"/>
      <sz val="10"/>
      <u val="single"/>
    </font>
  </fonts>
  <fills count="7">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FCE5CD"/>
      </patternFill>
    </fill>
    <fill>
      <patternFill patternType="solid">
        <fgColor rgb="00EEEEEE"/>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xf>
    <xf numFmtId="0" fontId="1" fillId="0" borderId="0" applyAlignment="1" pivotButton="0" quotePrefix="0" xfId="0">
      <alignment vertical="top" wrapText="1"/>
    </xf>
    <xf numFmtId="0" fontId="2" fillId="0" borderId="0" applyAlignment="1" pivotButton="0" quotePrefix="0" xfId="0">
      <alignment vertical="top"/>
    </xf>
    <xf numFmtId="0" fontId="2" fillId="2"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1" fillId="0" borderId="0" pivotButton="0" quotePrefix="0" xfId="0"/>
    <xf numFmtId="0" fontId="2" fillId="3" borderId="0" pivotButton="0" quotePrefix="0" xfId="0"/>
    <xf numFmtId="0" fontId="2" fillId="0" borderId="0" pivotButton="0" quotePrefix="0" xfId="0"/>
    <xf numFmtId="0" fontId="2" fillId="2" borderId="0" pivotButton="0" quotePrefix="0" xfId="0"/>
    <xf numFmtId="0" fontId="2" fillId="5" borderId="0" pivotButton="0" quotePrefix="0" xfId="0"/>
    <xf numFmtId="0" fontId="2" fillId="4" borderId="0" pivotButton="0" quotePrefix="0" xfId="0"/>
    <xf numFmtId="0" fontId="2"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Films" displayName="Films" ref="A1:S200" headerRowCount="1">
  <autoFilter ref="A1:S200"/>
  <tableColumns count="19">
    <tableColumn id="1" name="Pays"/>
    <tableColumn id="2" name="Continent"/>
    <tableColumn id="3" name="Niveau"/>
    <tableColumn id="4" name="Fiabilité"/>
    <tableColumn id="5" name="Titre original"/>
    <tableColumn id="6" name="Titre français"/>
    <tableColumn id="7" name="Année"/>
    <tableColumn id="8" name="Langue"/>
    <tableColumn id="9" name="Animation"/>
    <tableColumn id="10" name="Durée (min)"/>
    <tableColumn id="11" name="Critère"/>
    <tableColumn id="12" name="Où le voir en France"/>
    <tableColumn id="13" name="Source du classement"/>
    <tableColumn id="14" name="Fiche TMDB"/>
    <tableColumn id="15" name="2e du classement"/>
    <tableColumn id="16" name="Le plus voté sur TMDB"/>
    <tableColumn id="17" name="Choix critique (Films Around the World)"/>
    <tableColumn id="18" name="Phénomène vidéo / YouTube"/>
    <tableColumn id="19" name="Notes"/>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moviedb.org/movie/14757" TargetMode="External" Id="rId1"/><Relationship Type="http://schemas.openxmlformats.org/officeDocument/2006/relationships/hyperlink" Target="https://www.themoviedb.org/movie/14757" TargetMode="External" Id="rId2"/><Relationship Type="http://schemas.openxmlformats.org/officeDocument/2006/relationships/hyperlink" Target="https://en.wikipedia.org/wiki/Mr_Bones_2:_Back_from_the_Past" TargetMode="External" Id="rId3"/><Relationship Type="http://schemas.openxmlformats.org/officeDocument/2006/relationships/hyperlink" Target="https://www.themoviedb.org/movie/30245" TargetMode="External" Id="rId4"/><Relationship Type="http://schemas.openxmlformats.org/officeDocument/2006/relationships/hyperlink" Target="https://www.themoviedb.org/search?query=Tomka%20dhe%20shok%C3%ABt%20e%20tij" TargetMode="External" Id="rId5"/><Relationship Type="http://schemas.openxmlformats.org/officeDocument/2006/relationships/hyperlink" Target="https://www.themoviedb.org/movie/263014" TargetMode="External" Id="rId6"/><Relationship Type="http://schemas.openxmlformats.org/officeDocument/2006/relationships/hyperlink" Target="https://filmsaroundthe.world/" TargetMode="External" Id="rId7"/><Relationship Type="http://schemas.openxmlformats.org/officeDocument/2006/relationships/hyperlink" Target="https://www.themoviedb.org/movie/17295" TargetMode="External" Id="rId8"/><Relationship Type="http://schemas.openxmlformats.org/officeDocument/2006/relationships/hyperlink" Target="https://www.insidekino.com/DJahr/DAlltimeDeutsch50.htm" TargetMode="External" Id="rId9"/><Relationship Type="http://schemas.openxmlformats.org/officeDocument/2006/relationships/hyperlink" Target="https://www.themoviedb.org/movie/83062" TargetMode="External" Id="rId10"/><Relationship Type="http://schemas.openxmlformats.org/officeDocument/2006/relationships/hyperlink" Target="https://www.themoviedb.org/movie/1638553" TargetMode="External" Id="rId11"/><Relationship Type="http://schemas.openxmlformats.org/officeDocument/2006/relationships/hyperlink" Target="https://www.themoviedb.org/movie/1638553" TargetMode="External" Id="rId12"/><Relationship Type="http://schemas.openxmlformats.org/officeDocument/2006/relationships/hyperlink" Target="https://filmsaroundthe.world/country/angola/films/sambizanga-f7883e975b7e724f7/" TargetMode="External" Id="rId13"/><Relationship Type="http://schemas.openxmlformats.org/officeDocument/2006/relationships/hyperlink" Target="https://www.themoviedb.org/movie/87392" TargetMode="External" Id="rId14"/><Relationship Type="http://schemas.openxmlformats.org/officeDocument/2006/relationships/hyperlink" Target="https://filmsaroundthe.world/country/antigua-and-barbuda/films/the-sweetest-mango-f5ae8570bb75628ed/" TargetMode="External" Id="rId15"/><Relationship Type="http://schemas.openxmlformats.org/officeDocument/2006/relationships/hyperlink" Target="https://www.themoviedb.org/movie/389209" TargetMode="External" Id="rId16"/><Relationship Type="http://schemas.openxmlformats.org/officeDocument/2006/relationships/hyperlink" Target="https://www.instagram.com/p/DcOpfLdMe4R" TargetMode="External" Id="rId17"/><Relationship Type="http://schemas.openxmlformats.org/officeDocument/2006/relationships/hyperlink" Target="https://www.themoviedb.org/movie/1316427" TargetMode="External" Id="rId18"/><Relationship Type="http://schemas.openxmlformats.org/officeDocument/2006/relationships/hyperlink" Target="https://es.wikipedia.org/wiki/Relatos_salvajes" TargetMode="External" Id="rId19"/><Relationship Type="http://schemas.openxmlformats.org/officeDocument/2006/relationships/hyperlink" Target="https://www.themoviedb.org/movie/265195" TargetMode="External" Id="rId20"/><Relationship Type="http://schemas.openxmlformats.org/officeDocument/2006/relationships/hyperlink" Target="https://filmsaroundthe.world/country/armenia/films/the-color-of-pomegranates-fc14231a1f400d625/" TargetMode="External" Id="rId21"/><Relationship Type="http://schemas.openxmlformats.org/officeDocument/2006/relationships/hyperlink" Target="https://www.themoviedb.org/movie/26302" TargetMode="External" Id="rId22"/><Relationship Type="http://schemas.openxmlformats.org/officeDocument/2006/relationships/hyperlink" Target="https://www.screenaustralia.gov.au/insights-and-trends/australian-films/top-australian-films/" TargetMode="External" Id="rId23"/><Relationship Type="http://schemas.openxmlformats.org/officeDocument/2006/relationships/hyperlink" Target="https://www.themoviedb.org/movie/9671" TargetMode="External" Id="rId24"/><Relationship Type="http://schemas.openxmlformats.org/officeDocument/2006/relationships/hyperlink" Target="https://de.wikipedia.org/wiki/Hinterholz_8" TargetMode="External" Id="rId25"/><Relationship Type="http://schemas.openxmlformats.org/officeDocument/2006/relationships/hyperlink" Target="https://www.themoviedb.org/movie/38005" TargetMode="External" Id="rId26"/><Relationship Type="http://schemas.openxmlformats.org/officeDocument/2006/relationships/hyperlink" Target="https://www.azernews.az/culture/262003.html" TargetMode="External" Id="rId27"/><Relationship Type="http://schemas.openxmlformats.org/officeDocument/2006/relationships/hyperlink" Target="https://www.themoviedb.org/movie/1360595" TargetMode="External" Id="rId28"/><Relationship Type="http://schemas.openxmlformats.org/officeDocument/2006/relationships/hyperlink" Target="https://www.themoviedb.org/movie/79926" TargetMode="External" Id="rId29"/><Relationship Type="http://schemas.openxmlformats.org/officeDocument/2006/relationships/hyperlink" Target="https://www.themoviedb.org/movie/79926" TargetMode="External" Id="rId30"/><Relationship Type="http://schemas.openxmlformats.org/officeDocument/2006/relationships/hyperlink" Target="https://filmsaroundthe.world/country/bahrain/films/the-barrier-fb1b79d7b9ce09270/" TargetMode="External" Id="rId31"/><Relationship Type="http://schemas.openxmlformats.org/officeDocument/2006/relationships/hyperlink" Target="https://www.themoviedb.org/movie/275053" TargetMode="External" Id="rId32"/><Relationship Type="http://schemas.openxmlformats.org/officeDocument/2006/relationships/hyperlink" Target="https://en.wikipedia.org/wiki/List_of_highest-grossing_Bangladeshi_films" TargetMode="External" Id="rId33"/><Relationship Type="http://schemas.openxmlformats.org/officeDocument/2006/relationships/hyperlink" Target="https://www.themoviedb.org/movie/1374290" TargetMode="External" Id="rId34"/><Relationship Type="http://schemas.openxmlformats.org/officeDocument/2006/relationships/hyperlink" Target="https://filmsaroundthe.world/country/barbados/films/a-caribbean-dream-fa5c28b5beea3790a/" TargetMode="External" Id="rId35"/><Relationship Type="http://schemas.openxmlformats.org/officeDocument/2006/relationships/hyperlink" Target="https://www.themoviedb.org/movie/412906" TargetMode="External" Id="rId36"/><Relationship Type="http://schemas.openxmlformats.org/officeDocument/2006/relationships/hyperlink" Target="https://cineuropa.org" TargetMode="External" Id="rId37"/><Relationship Type="http://schemas.openxmlformats.org/officeDocument/2006/relationships/hyperlink" Target="https://www.themoviedb.org/movie/17845" TargetMode="External" Id="rId38"/><Relationship Type="http://schemas.openxmlformats.org/officeDocument/2006/relationships/hyperlink" Target="https://www.themoviedb.org/movie/1071807" TargetMode="External" Id="rId39"/><Relationship Type="http://schemas.openxmlformats.org/officeDocument/2006/relationships/hyperlink" Target="https://www.themoviedb.org/movie/1071807" TargetMode="External" Id="rId40"/><Relationship Type="http://schemas.openxmlformats.org/officeDocument/2006/relationships/hyperlink" Target="https://filmsaroundthe.world/country/benin/films/sous-le-signe-du-vaudou-f78f203ff591a6305/" TargetMode="External" Id="rId41"/><Relationship Type="http://schemas.openxmlformats.org/officeDocument/2006/relationships/hyperlink" Target="https://www.themoviedb.org/movie/471171" TargetMode="External" Id="rId42"/><Relationship Type="http://schemas.openxmlformats.org/officeDocument/2006/relationships/hyperlink" Target="https://www.themoviedb.org/movie/627087" TargetMode="External" Id="rId43"/><Relationship Type="http://schemas.openxmlformats.org/officeDocument/2006/relationships/hyperlink" Target="https://www.themoviedb.org/movie/627087" TargetMode="External" Id="rId44"/><Relationship Type="http://schemas.openxmlformats.org/officeDocument/2006/relationships/hyperlink" Target="https://www.themoviedb.org/movie/50618" TargetMode="External" Id="rId45"/><Relationship Type="http://schemas.openxmlformats.org/officeDocument/2006/relationships/hyperlink" Target="https://www.themoviedb.org/movie/50618" TargetMode="External" Id="rId46"/><Relationship Type="http://schemas.openxmlformats.org/officeDocument/2006/relationships/hyperlink" Target="https://www.themoviedb.org/movie/594417" TargetMode="External" Id="rId47"/><Relationship Type="http://schemas.openxmlformats.org/officeDocument/2006/relationships/hyperlink" Target="https://www.themoviedb.org/movie/594417" TargetMode="External" Id="rId48"/><Relationship Type="http://schemas.openxmlformats.org/officeDocument/2006/relationships/hyperlink" Target="https://www.themoviedb.org/movie/455502" TargetMode="External" Id="rId49"/><Relationship Type="http://schemas.openxmlformats.org/officeDocument/2006/relationships/hyperlink" Target="https://www.themoviedb.org/movie/455502" TargetMode="External" Id="rId50"/><Relationship Type="http://schemas.openxmlformats.org/officeDocument/2006/relationships/hyperlink" Target="https://www.themoviedb.org/movie/317" TargetMode="External" Id="rId51"/><Relationship Type="http://schemas.openxmlformats.org/officeDocument/2006/relationships/hyperlink" Target="https://www.themoviedb.org/movie/317" TargetMode="External" Id="rId52"/><Relationship Type="http://schemas.openxmlformats.org/officeDocument/2006/relationships/hyperlink" Target="https://filmsaroundthe.world/country/botswana/films/ngaka-fcea1e639040f8bb5/" TargetMode="External" Id="rId53"/><Relationship Type="http://schemas.openxmlformats.org/officeDocument/2006/relationships/hyperlink" Target="https://www.themoviedb.org/movie/1186418" TargetMode="External" Id="rId54"/><Relationship Type="http://schemas.openxmlformats.org/officeDocument/2006/relationships/hyperlink" Target="https://pt.wikipedia.org/wiki/Lista_de_filmes_brasileiros_com_mais_de_um_milh%C3%A3o_de_espectadores" TargetMode="External" Id="rId55"/><Relationship Type="http://schemas.openxmlformats.org/officeDocument/2006/relationships/hyperlink" Target="https://www.themoviedb.org/movie/47931" TargetMode="External" Id="rId56"/><Relationship Type="http://schemas.openxmlformats.org/officeDocument/2006/relationships/hyperlink" Target="https://filmsaroundthe.world/country/brunei/films/yasmine-f17b4d68cefb3bb3d/" TargetMode="External" Id="rId57"/><Relationship Type="http://schemas.openxmlformats.org/officeDocument/2006/relationships/hyperlink" Target="https://www.themoviedb.org/movie/277690" TargetMode="External" Id="rId58"/><Relationship Type="http://schemas.openxmlformats.org/officeDocument/2006/relationships/hyperlink" Target="https://www.segabg.com" TargetMode="External" Id="rId59"/><Relationship Type="http://schemas.openxmlformats.org/officeDocument/2006/relationships/hyperlink" Target="https://www.themoviedb.org/movie/1300045" TargetMode="External" Id="rId60"/><Relationship Type="http://schemas.openxmlformats.org/officeDocument/2006/relationships/hyperlink" Target="https://filmsaroundthe.world/country/burkina-faso/films/wend-kuuni-f7b306511670049bb/" TargetMode="External" Id="rId61"/><Relationship Type="http://schemas.openxmlformats.org/officeDocument/2006/relationships/hyperlink" Target="https://www.themoviedb.org/movie/181083" TargetMode="External" Id="rId62"/><Relationship Type="http://schemas.openxmlformats.org/officeDocument/2006/relationships/hyperlink" Target="https://filmsaroundthe.world/country/burundi/films/gito-l-ingrat-f51b7b6751e068d3e/" TargetMode="External" Id="rId63"/><Relationship Type="http://schemas.openxmlformats.org/officeDocument/2006/relationships/hyperlink" Target="https://www.themoviedb.org/movie/272032" TargetMode="External" Id="rId64"/><Relationship Type="http://schemas.openxmlformats.org/officeDocument/2006/relationships/hyperlink" Target="https://km.wikipedia.org/wiki/Cambodia_Box_Office" TargetMode="External" Id="rId65"/><Relationship Type="http://schemas.openxmlformats.org/officeDocument/2006/relationships/hyperlink" Target="https://www.themoviedb.org/movie/1246014" TargetMode="External" Id="rId66"/><Relationship Type="http://schemas.openxmlformats.org/officeDocument/2006/relationships/hyperlink" Target="https://letudiantafricain.com/blog-letudiant-africain/le-cin%C3%A9ma-camerounais-arr%C3%AAt-sur-image" TargetMode="External" Id="rId67"/><Relationship Type="http://schemas.openxmlformats.org/officeDocument/2006/relationships/hyperlink" Target="https://en.wikipedia.org/wiki/Cinema_of_Canada" TargetMode="External" Id="rId68"/><Relationship Type="http://schemas.openxmlformats.org/officeDocument/2006/relationships/hyperlink" Target="https://www.themoviedb.org/movie/15049" TargetMode="External" Id="rId69"/><Relationship Type="http://schemas.openxmlformats.org/officeDocument/2006/relationships/hyperlink" Target="https://es.wikipedia.org/wiki/Cine_de_Chile" TargetMode="External" Id="rId70"/><Relationship Type="http://schemas.openxmlformats.org/officeDocument/2006/relationships/hyperlink" Target="https://www.themoviedb.org/movie/132706" TargetMode="External" Id="rId71"/><Relationship Type="http://schemas.openxmlformats.org/officeDocument/2006/relationships/hyperlink" Target="https://en.wikipedia.org/wiki/List_of_highest-grossing_films_in_China" TargetMode="External" Id="rId72"/><Relationship Type="http://schemas.openxmlformats.org/officeDocument/2006/relationships/hyperlink" Target="https://www.themoviedb.org/movie/980477" TargetMode="External" Id="rId73"/><Relationship Type="http://schemas.openxmlformats.org/officeDocument/2006/relationships/hyperlink" Target="https://www.themoviedb.org/movie/512092" TargetMode="External" Id="rId74"/><Relationship Type="http://schemas.openxmlformats.org/officeDocument/2006/relationships/hyperlink" Target="https://www.themoviedb.org/movie/512092" TargetMode="External" Id="rId75"/><Relationship Type="http://schemas.openxmlformats.org/officeDocument/2006/relationships/hyperlink" Target="https://www.themoviedb.org/movie/1704694" TargetMode="External" Id="rId76"/><Relationship Type="http://schemas.openxmlformats.org/officeDocument/2006/relationships/hyperlink" Target="https://www.themoviedb.org/movie/1704694" TargetMode="External" Id="rId77"/><Relationship Type="http://schemas.openxmlformats.org/officeDocument/2006/relationships/hyperlink" Target="https://es.wikipedia.org/wiki/El_paseo_4" TargetMode="External" Id="rId78"/><Relationship Type="http://schemas.openxmlformats.org/officeDocument/2006/relationships/hyperlink" Target="https://www.themoviedb.org/movie/434608" TargetMode="External" Id="rId79"/><Relationship Type="http://schemas.openxmlformats.org/officeDocument/2006/relationships/hyperlink" Target="https://filmsaroundthe.world/country/comoros/films/yeyamba-wandze-mdrou-ndo-fd72b6e081afa42e4/" TargetMode="External" Id="rId80"/><Relationship Type="http://schemas.openxmlformats.org/officeDocument/2006/relationships/hyperlink" Target="https://www.themoviedb.org/movie/470953" TargetMode="External" Id="rId81"/><Relationship Type="http://schemas.openxmlformats.org/officeDocument/2006/relationships/hyperlink" Target="https://filmsaroundthe.world/country/republic-of-the-congo/films/la-rancon-d-une-alliance-f6f7324a3da5cd10a/" TargetMode="External" Id="rId82"/><Relationship Type="http://schemas.openxmlformats.org/officeDocument/2006/relationships/hyperlink" Target="https://www.themoviedb.org/movie/984973" TargetMode="External" Id="rId83"/><Relationship Type="http://schemas.openxmlformats.org/officeDocument/2006/relationships/hyperlink" Target="https://filmsaroundthe.world/country/democratic-republic-of-the-congo/films/viva-riva-f931fdd22c03ee7ee/" TargetMode="External" Id="rId84"/><Relationship Type="http://schemas.openxmlformats.org/officeDocument/2006/relationships/hyperlink" Target="https://www.themoviedb.org/movie/63946" TargetMode="External" Id="rId85"/><Relationship Type="http://schemas.openxmlformats.org/officeDocument/2006/relationships/hyperlink" Target="https://www.themoviedb.org/movie/26974" TargetMode="External" Id="rId86"/><Relationship Type="http://schemas.openxmlformats.org/officeDocument/2006/relationships/hyperlink" Target="https://www.themoviedb.org/movie/26974" TargetMode="External" Id="rId87"/><Relationship Type="http://schemas.openxmlformats.org/officeDocument/2006/relationships/hyperlink" Target="https://en.wikipedia.org/wiki/List_of_highest-grossing_films_in_South_Korea" TargetMode="External" Id="rId88"/><Relationship Type="http://schemas.openxmlformats.org/officeDocument/2006/relationships/hyperlink" Target="https://www.themoviedb.org/movie/282631" TargetMode="External" Id="rId89"/><Relationship Type="http://schemas.openxmlformats.org/officeDocument/2006/relationships/hyperlink" Target="https://www.nacion.com/viva/cine/maikol-yordan-de-viaje-perdido-es-la-pelicula-mas-vista-en-la-historia-de-costa-rica/IZ7PGSKN3ZDG7HUGEPD5KHNOXY/story/" TargetMode="External" Id="rId90"/><Relationship Type="http://schemas.openxmlformats.org/officeDocument/2006/relationships/hyperlink" Target="https://www.themoviedb.org/movie/364868" TargetMode="External" Id="rId91"/><Relationship Type="http://schemas.openxmlformats.org/officeDocument/2006/relationships/hyperlink" Target="https://cotedivoirecinema.com/index.php/2026/05/08/test-article-1" TargetMode="External" Id="rId92"/><Relationship Type="http://schemas.openxmlformats.org/officeDocument/2006/relationships/hyperlink" Target="https://www.themoviedb.org/movie/1125238" TargetMode="External" Id="rId93"/><Relationship Type="http://schemas.openxmlformats.org/officeDocument/2006/relationships/hyperlink" Target="https://hr.wikipedia.org/wiki/Popis_najgledanijih_hrvatskih_filmova" TargetMode="External" Id="rId94"/><Relationship Type="http://schemas.openxmlformats.org/officeDocument/2006/relationships/hyperlink" Target="https://www.themoviedb.org/movie/1551507" TargetMode="External" Id="rId95"/><Relationship Type="http://schemas.openxmlformats.org/officeDocument/2006/relationships/hyperlink" Target="https://www.themoviedb.org/movie/32015" TargetMode="External" Id="rId96"/><Relationship Type="http://schemas.openxmlformats.org/officeDocument/2006/relationships/hyperlink" Target="https://www.themoviedb.org/movie/32015" TargetMode="External" Id="rId97"/><Relationship Type="http://schemas.openxmlformats.org/officeDocument/2006/relationships/hyperlink" Target="https://da.wikipedia.org/wiki/Mest_sete_danske_film" TargetMode="External" Id="rId98"/><Relationship Type="http://schemas.openxmlformats.org/officeDocument/2006/relationships/hyperlink" Target="https://www.themoviedb.org/movie/11392" TargetMode="External" Id="rId99"/><Relationship Type="http://schemas.openxmlformats.org/officeDocument/2006/relationships/hyperlink" Target="https://filmsaroundthe.world/country/djibouti/films/dhalinyaro-fd603e389fe341fd0/" TargetMode="External" Id="rId100"/><Relationship Type="http://schemas.openxmlformats.org/officeDocument/2006/relationships/hyperlink" Target="https://www.themoviedb.org/movie/345927" TargetMode="External" Id="rId101"/><Relationship Type="http://schemas.openxmlformats.org/officeDocument/2006/relationships/hyperlink" Target="https://www.themoviedb.org/movie/1269098" TargetMode="External" Id="rId102"/><Relationship Type="http://schemas.openxmlformats.org/officeDocument/2006/relationships/hyperlink" Target="https://www.themoviedb.org/movie/1269098" TargetMode="External" Id="rId103"/><Relationship Type="http://schemas.openxmlformats.org/officeDocument/2006/relationships/hyperlink" Target="https://ar.wikipedia.org/wiki/%D9%82%D8%A7%D8%A6%D9%85%D8%A9_%D8%A3%D8%B9%D9%84%D9%89_%D8%A7%D9%84%D8%A3%D9%81%D9%84%D8%A7%D9%85_%D8%AF%D8%AE%D9%84%D8%A7_%D9%81%D9%8A_%D9%85%D8%B5%D8%B1" TargetMode="External" Id="rId104"/><Relationship Type="http://schemas.openxmlformats.org/officeDocument/2006/relationships/hyperlink" Target="https://www.themoviedb.org/movie/629040" TargetMode="External" Id="rId105"/><Relationship Type="http://schemas.openxmlformats.org/officeDocument/2006/relationships/hyperlink" Target="https://www.themoviedb.org/movie/413780" TargetMode="External" Id="rId106"/><Relationship Type="http://schemas.openxmlformats.org/officeDocument/2006/relationships/hyperlink" Target="https://www.themoviedb.org/movie/413780" TargetMode="External" Id="rId107"/><Relationship Type="http://schemas.openxmlformats.org/officeDocument/2006/relationships/hyperlink" Target="https://es.wikipedia.org/wiki/Anexo:Pel%C3%ADculas_de_Ecuador" TargetMode="External" Id="rId108"/><Relationship Type="http://schemas.openxmlformats.org/officeDocument/2006/relationships/hyperlink" Target="https://www.themoviedb.org/movie/644479" TargetMode="External" Id="rId109"/><Relationship Type="http://schemas.openxmlformats.org/officeDocument/2006/relationships/hyperlink" Target="https://filmsaroundthe.world/country/eritrea/films/barud-77-f882991ee7fc593a6/" TargetMode="External" Id="rId110"/><Relationship Type="http://schemas.openxmlformats.org/officeDocument/2006/relationships/hyperlink" Target="https://www.themoviedb.org/movie/662924" TargetMode="External" Id="rId111"/><Relationship Type="http://schemas.openxmlformats.org/officeDocument/2006/relationships/hyperlink" Target="https://en.wikipedia.org/wiki/List_of_highest-grossing_films_in_Spain" TargetMode="External" Id="rId112"/><Relationship Type="http://schemas.openxmlformats.org/officeDocument/2006/relationships/hyperlink" Target="https://www.themoviedb.org/movie/236737" TargetMode="External" Id="rId113"/><Relationship Type="http://schemas.openxmlformats.org/officeDocument/2006/relationships/hyperlink" Target="https://www.themoviedb.org/movie/238628" TargetMode="External" Id="rId114"/><Relationship Type="http://schemas.openxmlformats.org/officeDocument/2006/relationships/hyperlink" Target="https://www.themoviedb.org/movie/238628" TargetMode="External" Id="rId115"/><Relationship Type="http://schemas.openxmlformats.org/officeDocument/2006/relationships/hyperlink" Target="https://filmsaroundthe.world/country/swaziland/films/umshana-f5fe397ff4b2cbc4d/" TargetMode="External" Id="rId116"/><Relationship Type="http://schemas.openxmlformats.org/officeDocument/2006/relationships/hyperlink" Target="https://www.themoviedb.org/movie/471232" TargetMode="External" Id="rId117"/><Relationship Type="http://schemas.openxmlformats.org/officeDocument/2006/relationships/hyperlink" Target="https://en.wikipedia.org/wiki/Gone_with_the_Wind_(film)" TargetMode="External" Id="rId118"/><Relationship Type="http://schemas.openxmlformats.org/officeDocument/2006/relationships/hyperlink" Target="https://www.themoviedb.org/movie/770" TargetMode="External" Id="rId119"/><Relationship Type="http://schemas.openxmlformats.org/officeDocument/2006/relationships/hyperlink" Target="https://www.themoviedb.org/movie/245855" TargetMode="External" Id="rId120"/><Relationship Type="http://schemas.openxmlformats.org/officeDocument/2006/relationships/hyperlink" Target="https://www.themoviedb.org/movie/245855" TargetMode="External" Id="rId121"/><Relationship Type="http://schemas.openxmlformats.org/officeDocument/2006/relationships/hyperlink" Target="https://filmsaroundthe.world/country/fiji/films/the-land-has-eyes-fd23656786d5f9c40/" TargetMode="External" Id="rId122"/><Relationship Type="http://schemas.openxmlformats.org/officeDocument/2006/relationships/hyperlink" Target="https://www.themoviedb.org/movie/97107" TargetMode="External" Id="rId123"/><Relationship Type="http://schemas.openxmlformats.org/officeDocument/2006/relationships/hyperlink" Target="https://fi.wikipedia.org/wiki/Luettelo_Suomen_katsotuimmista_elokuvista" TargetMode="External" Id="rId124"/><Relationship Type="http://schemas.openxmlformats.org/officeDocument/2006/relationships/hyperlink" Target="https://www.themoviedb.org/movie/36439" TargetMode="External" Id="rId125"/><Relationship Type="http://schemas.openxmlformats.org/officeDocument/2006/relationships/hyperlink" Target="https://en.wikipedia.org/wiki/List_of_highest-grossing_films_in_France" TargetMode="External" Id="rId126"/><Relationship Type="http://schemas.openxmlformats.org/officeDocument/2006/relationships/hyperlink" Target="https://www.themoviedb.org/movie/8265" TargetMode="External" Id="rId127"/><Relationship Type="http://schemas.openxmlformats.org/officeDocument/2006/relationships/hyperlink" Target="https://filmsaroundthe.world/country/gabon/films/dole-fba1f512c5c2e60e3/" TargetMode="External" Id="rId128"/><Relationship Type="http://schemas.openxmlformats.org/officeDocument/2006/relationships/hyperlink" Target="https://www.themoviedb.org/movie/302057" TargetMode="External" Id="rId129"/><Relationship Type="http://schemas.openxmlformats.org/officeDocument/2006/relationships/hyperlink" Target="https://filmsaroundthe.world/country/gambia/films/hand-of-fate-fda370ae8556f8367/" TargetMode="External" Id="rId130"/><Relationship Type="http://schemas.openxmlformats.org/officeDocument/2006/relationships/hyperlink" Target="https://www.themoviedb.org/movie/757684" TargetMode="External" Id="rId131"/><Relationship Type="http://schemas.openxmlformats.org/officeDocument/2006/relationships/hyperlink" Target="https://www.themoviedb.org/movie/795815" TargetMode="External" Id="rId132"/><Relationship Type="http://schemas.openxmlformats.org/officeDocument/2006/relationships/hyperlink" Target="https://www.themoviedb.org/movie/795815" TargetMode="External" Id="rId133"/><Relationship Type="http://schemas.openxmlformats.org/officeDocument/2006/relationships/hyperlink" Target="https://filmsaroundthe.world/country/ghana/films/love-brewed-in-the-african-pot-f5548f65a585f8708/" TargetMode="External" Id="rId134"/><Relationship Type="http://schemas.openxmlformats.org/officeDocument/2006/relationships/hyperlink" Target="https://www.themoviedb.org/movie/271440" TargetMode="External" Id="rId135"/><Relationship Type="http://schemas.openxmlformats.org/officeDocument/2006/relationships/hyperlink" Target="https://en.wikipedia.org/wiki/List_of_highest-grossing_Greek_films" TargetMode="External" Id="rId136"/><Relationship Type="http://schemas.openxmlformats.org/officeDocument/2006/relationships/hyperlink" Target="https://www.themoviedb.org/movie/12497" TargetMode="External" Id="rId137"/><Relationship Type="http://schemas.openxmlformats.org/officeDocument/2006/relationships/hyperlink" Target="https://filmsaroundthe.world/country/grenada/films/blinded-f99e1c495c64f795e/" TargetMode="External" Id="rId138"/><Relationship Type="http://schemas.openxmlformats.org/officeDocument/2006/relationships/hyperlink" Target="https://www.themoviedb.org/movie/276458" TargetMode="External" Id="rId139"/><Relationship Type="http://schemas.openxmlformats.org/officeDocument/2006/relationships/hyperlink" Target="https://www.themoviedb.org/movie/617708" TargetMode="External" Id="rId140"/><Relationship Type="http://schemas.openxmlformats.org/officeDocument/2006/relationships/hyperlink" Target="https://www.themoviedb.org/movie/617708" TargetMode="External" Id="rId141"/><Relationship Type="http://schemas.openxmlformats.org/officeDocument/2006/relationships/hyperlink" Target="https://filmsaroundthe.world/" TargetMode="External" Id="rId142"/><Relationship Type="http://schemas.openxmlformats.org/officeDocument/2006/relationships/hyperlink" Target="https://filmsaroundthe.world/country/guinea-bissau/films/the-blue-eyes-of-yonta-f76ec3b5b8039d4ec/" TargetMode="External" Id="rId143"/><Relationship Type="http://schemas.openxmlformats.org/officeDocument/2006/relationships/hyperlink" Target="https://www.themoviedb.org/movie/80257" TargetMode="External" Id="rId144"/><Relationship Type="http://schemas.openxmlformats.org/officeDocument/2006/relationships/hyperlink" Target="https://filmsaroundthe.world/country/equatorial-guinea/films/teresa-fccdc5089f8e0b34a/" TargetMode="External" Id="rId145"/><Relationship Type="http://schemas.openxmlformats.org/officeDocument/2006/relationships/hyperlink" Target="https://www.themoviedb.org/movie/345891" TargetMode="External" Id="rId146"/><Relationship Type="http://schemas.openxmlformats.org/officeDocument/2006/relationships/hyperlink" Target="https://www.themoviedb.org/movie/1372879" TargetMode="External" Id="rId147"/><Relationship Type="http://schemas.openxmlformats.org/officeDocument/2006/relationships/hyperlink" Target="https://www.themoviedb.org/movie/1372879" TargetMode="External" Id="rId148"/><Relationship Type="http://schemas.openxmlformats.org/officeDocument/2006/relationships/hyperlink" Target="https://filmsaroundthe.world/country/haiti/films/haitian-corner-f93e81392f65f8fca/" TargetMode="External" Id="rId149"/><Relationship Type="http://schemas.openxmlformats.org/officeDocument/2006/relationships/hyperlink" Target="https://www.themoviedb.org/movie/344654" TargetMode="External" Id="rId150"/><Relationship Type="http://schemas.openxmlformats.org/officeDocument/2006/relationships/hyperlink" Target="https://www.laprensa.hn/honduras/peliculas-hondurenas-taquillera-cinefilos-cine-honduras-quien-paga-la-cuenta-LCLP1166937" TargetMode="External" Id="rId151"/><Relationship Type="http://schemas.openxmlformats.org/officeDocument/2006/relationships/hyperlink" Target="https://www.themoviedb.org/movie/249276" TargetMode="External" Id="rId152"/><Relationship Type="http://schemas.openxmlformats.org/officeDocument/2006/relationships/hyperlink" Target="https://en.wikipedia.org/wiki/List_of_highest-grossing_films_in_Hong_Kong" TargetMode="External" Id="rId153"/><Relationship Type="http://schemas.openxmlformats.org/officeDocument/2006/relationships/hyperlink" Target="https://www.themoviedb.org/movie/1226141" TargetMode="External" Id="rId154"/><Relationship Type="http://schemas.openxmlformats.org/officeDocument/2006/relationships/hyperlink" Target="https://hu.wikipedia.org/wiki/Magyar_filmek_n%C3%A9z%C5%91sz%C3%A1m_szerinti_list%C3%A1ja" TargetMode="External" Id="rId155"/><Relationship Type="http://schemas.openxmlformats.org/officeDocument/2006/relationships/hyperlink" Target="https://www.themoviedb.org/movie/1283816" TargetMode="External" Id="rId156"/><Relationship Type="http://schemas.openxmlformats.org/officeDocument/2006/relationships/hyperlink" Target="https://www.themoviedb.org/movie/663459" TargetMode="External" Id="rId157"/><Relationship Type="http://schemas.openxmlformats.org/officeDocument/2006/relationships/hyperlink" Target="https://www.themoviedb.org/movie/663459" TargetMode="External" Id="rId158"/><Relationship Type="http://schemas.openxmlformats.org/officeDocument/2006/relationships/hyperlink" Target="https://filmsaroundthe.world/country/cabo-verde/films/hanami-f0880c63a9a1e2a7f/" TargetMode="External" Id="rId159"/><Relationship Type="http://schemas.openxmlformats.org/officeDocument/2006/relationships/hyperlink" Target="https://www.themoviedb.org/movie/1315405" TargetMode="External" Id="rId160"/><Relationship Type="http://schemas.openxmlformats.org/officeDocument/2006/relationships/hyperlink" Target="https://filmsaroundthe.world/country/marshall-islands/films/the-sound-of-crickets-at-night-f4460f9847c95abe6/" TargetMode="External" Id="rId161"/><Relationship Type="http://schemas.openxmlformats.org/officeDocument/2006/relationships/hyperlink" Target="https://www.themoviedb.org/movie/274489" TargetMode="External" Id="rId162"/><Relationship Type="http://schemas.openxmlformats.org/officeDocument/2006/relationships/hyperlink" Target="https://www.themoviedb.org/movie/854228" TargetMode="External" Id="rId163"/><Relationship Type="http://schemas.openxmlformats.org/officeDocument/2006/relationships/hyperlink" Target="https://www.themoviedb.org/movie/854228" TargetMode="External" Id="rId164"/><Relationship Type="http://schemas.openxmlformats.org/officeDocument/2006/relationships/hyperlink" Target="https://www.sacnilk.com/entertainmenttopbar/Top_10_Indian_Movies_(India_Net_Collection)" TargetMode="External" Id="rId165"/><Relationship Type="http://schemas.openxmlformats.org/officeDocument/2006/relationships/hyperlink" Target="https://www.themoviedb.org/movie/857598" TargetMode="External" Id="rId166"/><Relationship Type="http://schemas.openxmlformats.org/officeDocument/2006/relationships/hyperlink" Target="https://en.wikipedia.org/wiki/List_of_highest-grossing_films_in_Indonesia" TargetMode="External" Id="rId167"/><Relationship Type="http://schemas.openxmlformats.org/officeDocument/2006/relationships/hyperlink" Target="https://www.themoviedb.org/movie/1287571" TargetMode="External" Id="rId168"/><Relationship Type="http://schemas.openxmlformats.org/officeDocument/2006/relationships/hyperlink" Target="https://filmsaroundthe.world/country/iraq/films/the-president-s-cake-fe282b2427bd0bc7e/" TargetMode="External" Id="rId169"/><Relationship Type="http://schemas.openxmlformats.org/officeDocument/2006/relationships/hyperlink" Target="https://www.themoviedb.org/movie/1464883" TargetMode="External" Id="rId170"/><Relationship Type="http://schemas.openxmlformats.org/officeDocument/2006/relationships/hyperlink" Target="https://en.wikipedia.org/wiki/List_of_highest-grossing_Iranian_films" TargetMode="External" Id="rId171"/><Relationship Type="http://schemas.openxmlformats.org/officeDocument/2006/relationships/hyperlink" Target="https://www.themoviedb.org/movie/1354498" TargetMode="External" Id="rId172"/><Relationship Type="http://schemas.openxmlformats.org/officeDocument/2006/relationships/hyperlink" Target="https://en.wikipedia.org/wiki/The_Guard_(2011_film)" TargetMode="External" Id="rId173"/><Relationship Type="http://schemas.openxmlformats.org/officeDocument/2006/relationships/hyperlink" Target="https://www.themoviedb.org/movie/67913" TargetMode="External" Id="rId174"/><Relationship Type="http://schemas.openxmlformats.org/officeDocument/2006/relationships/hyperlink" Target="https://www.themoviedb.org/movie/788929" TargetMode="External" Id="rId175"/><Relationship Type="http://schemas.openxmlformats.org/officeDocument/2006/relationships/hyperlink" Target="https://www.themoviedb.org/movie/788929" TargetMode="External" Id="rId176"/><Relationship Type="http://schemas.openxmlformats.org/officeDocument/2006/relationships/hyperlink" Target="https://en.wikipedia.org/wiki/Lemon_Popsicle" TargetMode="External" Id="rId177"/><Relationship Type="http://schemas.openxmlformats.org/officeDocument/2006/relationships/hyperlink" Target="https://www.themoviedb.org/movie/10580" TargetMode="External" Id="rId178"/><Relationship Type="http://schemas.openxmlformats.org/officeDocument/2006/relationships/hyperlink" Target="https://en.wikipedia.org/wiki/List_of_highest-grossing_films_in_Italy" TargetMode="External" Id="rId179"/><Relationship Type="http://schemas.openxmlformats.org/officeDocument/2006/relationships/hyperlink" Target="https://www.themoviedb.org/movie/391" TargetMode="External" Id="rId180"/><Relationship Type="http://schemas.openxmlformats.org/officeDocument/2006/relationships/hyperlink" Target="https://en.wikipedia.org/wiki/Third_World_Cop" TargetMode="External" Id="rId181"/><Relationship Type="http://schemas.openxmlformats.org/officeDocument/2006/relationships/hyperlink" Target="https://www.themoviedb.org/movie/46686" TargetMode="External" Id="rId182"/><Relationship Type="http://schemas.openxmlformats.org/officeDocument/2006/relationships/hyperlink" Target="https://en.wikipedia.org/wiki/List_of_highest-grossing_films_in_Japan" TargetMode="External" Id="rId183"/><Relationship Type="http://schemas.openxmlformats.org/officeDocument/2006/relationships/hyperlink" Target="https://www.themoviedb.org/movie/635302" TargetMode="External" Id="rId184"/><Relationship Type="http://schemas.openxmlformats.org/officeDocument/2006/relationships/hyperlink" Target="https://www.themoviedb.org/movie/287628" TargetMode="External" Id="rId185"/><Relationship Type="http://schemas.openxmlformats.org/officeDocument/2006/relationships/hyperlink" Target="https://www.themoviedb.org/movie/287628" TargetMode="External" Id="rId186"/><Relationship Type="http://schemas.openxmlformats.org/officeDocument/2006/relationships/hyperlink" Target="https://kinomania.kz/kk/top-10-samyh-kassovyh-filmov-v-istorii-kazahstanskogo-kino/" TargetMode="External" Id="rId187"/><Relationship Type="http://schemas.openxmlformats.org/officeDocument/2006/relationships/hyperlink" Target="https://www.themoviedb.org/movie/1221435" TargetMode="External" Id="rId188"/><Relationship Type="http://schemas.openxmlformats.org/officeDocument/2006/relationships/hyperlink" Target="https://filmsaroundthe.world/country/kenya/films/nairobi-half-life-f7f907c0527196075/" TargetMode="External" Id="rId189"/><Relationship Type="http://schemas.openxmlformats.org/officeDocument/2006/relationships/hyperlink" Target="https://www.themoviedb.org/movie/130737" TargetMode="External" Id="rId190"/><Relationship Type="http://schemas.openxmlformats.org/officeDocument/2006/relationships/hyperlink" Target="https://filmsaroundthe.world/country/kyrgyzstan/films/the-white-ship-faadf3d31c5be3d9e/" TargetMode="External" Id="rId191"/><Relationship Type="http://schemas.openxmlformats.org/officeDocument/2006/relationships/hyperlink" Target="https://www.themoviedb.org/movie/263830" TargetMode="External" Id="rId192"/><Relationship Type="http://schemas.openxmlformats.org/officeDocument/2006/relationships/hyperlink" Target="https://www.themoviedb.org/movie/1253339" TargetMode="External" Id="rId193"/><Relationship Type="http://schemas.openxmlformats.org/officeDocument/2006/relationships/hyperlink" Target="https://www.themoviedb.org/movie/1253339" TargetMode="External" Id="rId194"/><Relationship Type="http://schemas.openxmlformats.org/officeDocument/2006/relationships/hyperlink" Target="https://filmsaroundthe.world/" TargetMode="External" Id="rId195"/><Relationship Type="http://schemas.openxmlformats.org/officeDocument/2006/relationships/hyperlink" Target="https://www.themoviedb.org/movie/776541" TargetMode="External" Id="rId196"/><Relationship Type="http://schemas.openxmlformats.org/officeDocument/2006/relationships/hyperlink" Target="https://www.themoviedb.org/movie/1257750" TargetMode="External" Id="rId197"/><Relationship Type="http://schemas.openxmlformats.org/officeDocument/2006/relationships/hyperlink" Target="https://www.themoviedb.org/movie/1257750" TargetMode="External" Id="rId198"/><Relationship Type="http://schemas.openxmlformats.org/officeDocument/2006/relationships/hyperlink" Target="https://filmsaroundthe.world/country/laos/films/sabaidee-luang-prabang-fd7dcd49f7e0ddc5d/" TargetMode="External" Id="rId199"/><Relationship Type="http://schemas.openxmlformats.org/officeDocument/2006/relationships/hyperlink" Target="https://www.themoviedb.org/movie/54822" TargetMode="External" Id="rId200"/><Relationship Type="http://schemas.openxmlformats.org/officeDocument/2006/relationships/hyperlink" Target="https://filmsaroundthe.world/country/lesotho/films/this-is-not-a-burial-it-s-a-resurrection-fa007522f36567179/" TargetMode="External" Id="rId201"/><Relationship Type="http://schemas.openxmlformats.org/officeDocument/2006/relationships/hyperlink" Target="https://www.themoviedb.org/movie/618208" TargetMode="External" Id="rId202"/><Relationship Type="http://schemas.openxmlformats.org/officeDocument/2006/relationships/hyperlink" Target="https://en.wikipedia.org/wiki/Cinema_of_Latvia" TargetMode="External" Id="rId203"/><Relationship Type="http://schemas.openxmlformats.org/officeDocument/2006/relationships/hyperlink" Target="https://www.themoviedb.org/movie/823219" TargetMode="External" Id="rId204"/><Relationship Type="http://schemas.openxmlformats.org/officeDocument/2006/relationships/hyperlink" Target="https://www.themoviedb.org/movie/7973" TargetMode="External" Id="rId205"/><Relationship Type="http://schemas.openxmlformats.org/officeDocument/2006/relationships/hyperlink" Target="https://www.themoviedb.org/movie/7973" TargetMode="External" Id="rId206"/><Relationship Type="http://schemas.openxmlformats.org/officeDocument/2006/relationships/hyperlink" Target="https://filmsaroundthe.world/" TargetMode="External" Id="rId207"/><Relationship Type="http://schemas.openxmlformats.org/officeDocument/2006/relationships/hyperlink" Target="https://www.themoviedb.org/movie/442185" TargetMode="External" Id="rId208"/><Relationship Type="http://schemas.openxmlformats.org/officeDocument/2006/relationships/hyperlink" Target="https://www.themoviedb.org/movie/642483" TargetMode="External" Id="rId209"/><Relationship Type="http://schemas.openxmlformats.org/officeDocument/2006/relationships/hyperlink" Target="https://www.themoviedb.org/movie/642483" TargetMode="External" Id="rId210"/><Relationship Type="http://schemas.openxmlformats.org/officeDocument/2006/relationships/hyperlink" Target="https://filmsaroundthe.world/country/liechtenstein/films/children-of-the-mountains-f88071c06690dc900/" TargetMode="External" Id="rId211"/><Relationship Type="http://schemas.openxmlformats.org/officeDocument/2006/relationships/hyperlink" Target="https://www.themoviedb.org/movie/314947" TargetMode="External" Id="rId212"/><Relationship Type="http://schemas.openxmlformats.org/officeDocument/2006/relationships/hyperlink" Target="https://en.wikipedia.org/wiki/The_Southern_Chronicles" TargetMode="External" Id="rId213"/><Relationship Type="http://schemas.openxmlformats.org/officeDocument/2006/relationships/hyperlink" Target="https://www.themoviedb.org/movie/1252855" TargetMode="External" Id="rId214"/><Relationship Type="http://schemas.openxmlformats.org/officeDocument/2006/relationships/hyperlink" Target="https://filmsaroundthe.world/country/luxembourg/films/baby-a-lone-f0e976aa6d7ac0ecd/" TargetMode="External" Id="rId215"/><Relationship Type="http://schemas.openxmlformats.org/officeDocument/2006/relationships/hyperlink" Target="https://www.themoviedb.org/movie/330847" TargetMode="External" Id="rId216"/><Relationship Type="http://schemas.openxmlformats.org/officeDocument/2006/relationships/hyperlink" Target="https://en.wikipedia.org/wiki/Cinema_of_North_Macedonia" TargetMode="External" Id="rId217"/><Relationship Type="http://schemas.openxmlformats.org/officeDocument/2006/relationships/hyperlink" Target="https://www.themoviedb.org/movie/57218" TargetMode="External" Id="rId218"/><Relationship Type="http://schemas.openxmlformats.org/officeDocument/2006/relationships/hyperlink" Target="https://filmsaroundthe.world/country/madagascar/films/tabataba-f670d6d0801fbea65/" TargetMode="External" Id="rId219"/><Relationship Type="http://schemas.openxmlformats.org/officeDocument/2006/relationships/hyperlink" Target="https://www.themoviedb.org/movie/266418" TargetMode="External" Id="rId220"/><Relationship Type="http://schemas.openxmlformats.org/officeDocument/2006/relationships/hyperlink" Target="https://en.wikipedia.org/wiki/List_of_highest-grossing_films_in_Malaysia" TargetMode="External" Id="rId221"/><Relationship Type="http://schemas.openxmlformats.org/officeDocument/2006/relationships/hyperlink" Target="https://www.themoviedb.org/movie/988595" TargetMode="External" Id="rId222"/><Relationship Type="http://schemas.openxmlformats.org/officeDocument/2006/relationships/hyperlink" Target="https://filmsaroundthe.world/" TargetMode="External" Id="rId223"/><Relationship Type="http://schemas.openxmlformats.org/officeDocument/2006/relationships/hyperlink" Target="https://www.themoviedb.org/movie/505061" TargetMode="External" Id="rId224"/><Relationship Type="http://schemas.openxmlformats.org/officeDocument/2006/relationships/hyperlink" Target="https://filmsaroundthe.world/country/maldives/films/dheriyaa-fd7325e081b004662/" TargetMode="External" Id="rId225"/><Relationship Type="http://schemas.openxmlformats.org/officeDocument/2006/relationships/hyperlink" Target="https://www.themoviedb.org/movie/470973" TargetMode="External" Id="rId226"/><Relationship Type="http://schemas.openxmlformats.org/officeDocument/2006/relationships/hyperlink" Target="https://filmsaroundthe.world/country/mali/films/yeelen-f64ddce36d2fa08fa/" TargetMode="External" Id="rId227"/><Relationship Type="http://schemas.openxmlformats.org/officeDocument/2006/relationships/hyperlink" Target="https://www.themoviedb.org/movie/71329" TargetMode="External" Id="rId228"/><Relationship Type="http://schemas.openxmlformats.org/officeDocument/2006/relationships/hyperlink" Target="https://www.themoviedb.org/movie/543915" TargetMode="External" Id="rId229"/><Relationship Type="http://schemas.openxmlformats.org/officeDocument/2006/relationships/hyperlink" Target="https://www.themoviedb.org/movie/543915" TargetMode="External" Id="rId230"/><Relationship Type="http://schemas.openxmlformats.org/officeDocument/2006/relationships/hyperlink" Target="https://www.lodj.ma/Jouj-Rouah-depasse-le-cap-des-500-000-spectateurs-et-marque-un-tournant-dans-l-histoire-du-cinema-marocain_a175135.html" TargetMode="External" Id="rId231"/><Relationship Type="http://schemas.openxmlformats.org/officeDocument/2006/relationships/hyperlink" Target="https://filmsaroundthe.world/country/mauritania/films/waiting-for-happiness-fe84e424ab94278cf/" TargetMode="External" Id="rId232"/><Relationship Type="http://schemas.openxmlformats.org/officeDocument/2006/relationships/hyperlink" Target="https://www.themoviedb.org/movie/47226" TargetMode="External" Id="rId233"/><Relationship Type="http://schemas.openxmlformats.org/officeDocument/2006/relationships/hyperlink" Target="https://en.wikipedia.org/wiki/List_of_highest-grossing_Mexican_films" TargetMode="External" Id="rId234"/><Relationship Type="http://schemas.openxmlformats.org/officeDocument/2006/relationships/hyperlink" Target="https://www.themoviedb.org/movie/211954" TargetMode="External" Id="rId235"/><Relationship Type="http://schemas.openxmlformats.org/officeDocument/2006/relationships/hyperlink" Target="https://en.wikipedia.org/wiki/Cinema_of_Moldova" TargetMode="External" Id="rId236"/><Relationship Type="http://schemas.openxmlformats.org/officeDocument/2006/relationships/hyperlink" Target="https://www.themoviedb.org/movie/865577" TargetMode="External" Id="rId237"/><Relationship Type="http://schemas.openxmlformats.org/officeDocument/2006/relationships/hyperlink" Target="https://www.themoviedb.org/movie/922617" TargetMode="External" Id="rId238"/><Relationship Type="http://schemas.openxmlformats.org/officeDocument/2006/relationships/hyperlink" Target="https://www.themoviedb.org/movie/922617" TargetMode="External" Id="rId239"/><Relationship Type="http://schemas.openxmlformats.org/officeDocument/2006/relationships/hyperlink" Target="https://www.themoviedb.org/movie/960481" TargetMode="External" Id="rId240"/><Relationship Type="http://schemas.openxmlformats.org/officeDocument/2006/relationships/hyperlink" Target="https://www.themoviedb.org/movie/960481" TargetMode="External" Id="rId241"/><Relationship Type="http://schemas.openxmlformats.org/officeDocument/2006/relationships/hyperlink" Target="https://filmsaroundthe.world/country/montenegro/films/the-tower-of-strength-f1fa396c80e78c442/" TargetMode="External" Id="rId242"/><Relationship Type="http://schemas.openxmlformats.org/officeDocument/2006/relationships/hyperlink" Target="https://www.themoviedb.org/movie/1353581" TargetMode="External" Id="rId243"/><Relationship Type="http://schemas.openxmlformats.org/officeDocument/2006/relationships/hyperlink" Target="https://www.themoviedb.org/movie/408296" TargetMode="External" Id="rId244"/><Relationship Type="http://schemas.openxmlformats.org/officeDocument/2006/relationships/hyperlink" Target="https://www.themoviedb.org/movie/408296" TargetMode="External" Id="rId245"/><Relationship Type="http://schemas.openxmlformats.org/officeDocument/2006/relationships/hyperlink" Target="https://filmsaroundthe.world/country/namibia/films/katutura-f4fe5a5d8e64bde6c/" TargetMode="External" Id="rId246"/><Relationship Type="http://schemas.openxmlformats.org/officeDocument/2006/relationships/hyperlink" Target="https://www.themoviedb.org/movie/308555" TargetMode="External" Id="rId247"/><Relationship Type="http://schemas.openxmlformats.org/officeDocument/2006/relationships/hyperlink" Target="https://www.themoviedb.org/movie/1700768" TargetMode="External" Id="rId248"/><Relationship Type="http://schemas.openxmlformats.org/officeDocument/2006/relationships/hyperlink" Target="https://www.themoviedb.org/movie/1700768" TargetMode="External" Id="rId249"/><Relationship Type="http://schemas.openxmlformats.org/officeDocument/2006/relationships/hyperlink" Target="https://en.wikipedia.org/wiki/List_of_highest-grossing_films_in_Nepal" TargetMode="External" Id="rId250"/><Relationship Type="http://schemas.openxmlformats.org/officeDocument/2006/relationships/hyperlink" Target="https://www.themoviedb.org/movie/1383481" TargetMode="External" Id="rId251"/><Relationship Type="http://schemas.openxmlformats.org/officeDocument/2006/relationships/hyperlink" Target="https://casiliteral.com/la-ventana-discreta/diez-anos-de-la-pelicula-nicaraguense-la-yuma/" TargetMode="External" Id="rId252"/><Relationship Type="http://schemas.openxmlformats.org/officeDocument/2006/relationships/hyperlink" Target="https://www.themoviedb.org/movie/162654" TargetMode="External" Id="rId253"/><Relationship Type="http://schemas.openxmlformats.org/officeDocument/2006/relationships/hyperlink" Target="https://filmsaroundthe.world/country/niger/films/the-wedding-ring-fc5471ef799bb29c7/" TargetMode="External" Id="rId254"/><Relationship Type="http://schemas.openxmlformats.org/officeDocument/2006/relationships/hyperlink" Target="https://www.themoviedb.org/movie/412211" TargetMode="External" Id="rId255"/><Relationship Type="http://schemas.openxmlformats.org/officeDocument/2006/relationships/hyperlink" Target="https://en.wikipedia.org/wiki/List_of_highest-grossing_Nigerian_films" TargetMode="External" Id="rId256"/><Relationship Type="http://schemas.openxmlformats.org/officeDocument/2006/relationships/hyperlink" Target="https://www.themoviedb.org/movie/1592862" TargetMode="External" Id="rId257"/><Relationship Type="http://schemas.openxmlformats.org/officeDocument/2006/relationships/hyperlink" Target="https://no.wikipedia.org/wiki/Fl%C3%A5klypa_Grand_Prix" TargetMode="External" Id="rId258"/><Relationship Type="http://schemas.openxmlformats.org/officeDocument/2006/relationships/hyperlink" Target="https://www.themoviedb.org/movie/492015" TargetMode="External" Id="rId259"/><Relationship Type="http://schemas.openxmlformats.org/officeDocument/2006/relationships/hyperlink" Target="https://www.nzfilm.co.nz/assets/resources/Top20Films_NZFC_Nov25.pdf" TargetMode="External" Id="rId260"/><Relationship Type="http://schemas.openxmlformats.org/officeDocument/2006/relationships/hyperlink" Target="https://www.themoviedb.org/movie/371645" TargetMode="External" Id="rId261"/><Relationship Type="http://schemas.openxmlformats.org/officeDocument/2006/relationships/hyperlink" Target="https://www.themoviedb.org/movie/889106" TargetMode="External" Id="rId262"/><Relationship Type="http://schemas.openxmlformats.org/officeDocument/2006/relationships/hyperlink" Target="https://www.themoviedb.org/movie/889106" TargetMode="External" Id="rId263"/><Relationship Type="http://schemas.openxmlformats.org/officeDocument/2006/relationships/hyperlink" Target="https://filmsaroundthe.world/country/uganda/films/who-killed-captain-alex-fa593b4f7135cbdf4/" TargetMode="External" Id="rId264"/><Relationship Type="http://schemas.openxmlformats.org/officeDocument/2006/relationships/hyperlink" Target="https://www.themoviedb.org/movie/316776" TargetMode="External" Id="rId265"/><Relationship Type="http://schemas.openxmlformats.org/officeDocument/2006/relationships/hyperlink" Target="https://www.pbs.org/video/uzbekistan-nl3JOm" TargetMode="External" Id="rId266"/><Relationship Type="http://schemas.openxmlformats.org/officeDocument/2006/relationships/hyperlink" Target="https://www.themoviedb.org/movie/914434" TargetMode="External" Id="rId267"/><Relationship Type="http://schemas.openxmlformats.org/officeDocument/2006/relationships/hyperlink" Target="https://en.wikipedia.org/wiki/List_of_highest_grossing_Pakistani_films" TargetMode="External" Id="rId268"/><Relationship Type="http://schemas.openxmlformats.org/officeDocument/2006/relationships/hyperlink" Target="https://www.themoviedb.org/movie/464293" TargetMode="External" Id="rId269"/><Relationship Type="http://schemas.openxmlformats.org/officeDocument/2006/relationships/hyperlink" Target="https://www.themoviedb.org/movie/187028" TargetMode="External" Id="rId270"/><Relationship Type="http://schemas.openxmlformats.org/officeDocument/2006/relationships/hyperlink" Target="https://www.themoviedb.org/movie/187028" TargetMode="External" Id="rId271"/><Relationship Type="http://schemas.openxmlformats.org/officeDocument/2006/relationships/hyperlink" Target="https://es.wikipedia.org/wiki/Abner_Benaim" TargetMode="External" Id="rId272"/><Relationship Type="http://schemas.openxmlformats.org/officeDocument/2006/relationships/hyperlink" Target="https://www.themoviedb.org/movie/64127" TargetMode="External" Id="rId273"/><Relationship Type="http://schemas.openxmlformats.org/officeDocument/2006/relationships/hyperlink" Target="https://www.themoviedb.org/movie/1152467" TargetMode="External" Id="rId274"/><Relationship Type="http://schemas.openxmlformats.org/officeDocument/2006/relationships/hyperlink" Target="https://www.themoviedb.org/movie/1152467" TargetMode="External" Id="rId275"/><Relationship Type="http://schemas.openxmlformats.org/officeDocument/2006/relationships/hyperlink" Target="https://www.lanacion.com.py/espectaculo/2026/06/05/narciso-y-el-renacer-albirrojo-destacan-en-la-taquilla-nacional" TargetMode="External" Id="rId276"/><Relationship Type="http://schemas.openxmlformats.org/officeDocument/2006/relationships/hyperlink" Target="https://www.themoviedb.org/movie/127847" TargetMode="External" Id="rId277"/><Relationship Type="http://schemas.openxmlformats.org/officeDocument/2006/relationships/hyperlink" Target="https://nl.wikipedia.org/wiki/Lijst_van_succesvolste_Nederlandse_films" TargetMode="External" Id="rId278"/><Relationship Type="http://schemas.openxmlformats.org/officeDocument/2006/relationships/hyperlink" Target="https://www.themoviedb.org/movie/21035" TargetMode="External" Id="rId279"/><Relationship Type="http://schemas.openxmlformats.org/officeDocument/2006/relationships/hyperlink" Target="https://es.wikipedia.org/wiki/Anexo:Pel%C3%ADculas_de_Per%C3%BA" TargetMode="External" Id="rId280"/><Relationship Type="http://schemas.openxmlformats.org/officeDocument/2006/relationships/hyperlink" Target="https://www.themoviedb.org/movie/335031" TargetMode="External" Id="rId281"/><Relationship Type="http://schemas.openxmlformats.org/officeDocument/2006/relationships/hyperlink" Target="https://en.wikipedia.org/wiki/List_of_highest-grossing_films_in_the_Philippines" TargetMode="External" Id="rId282"/><Relationship Type="http://schemas.openxmlformats.org/officeDocument/2006/relationships/hyperlink" Target="https://www.themoviedb.org/movie/1292359" TargetMode="External" Id="rId283"/><Relationship Type="http://schemas.openxmlformats.org/officeDocument/2006/relationships/hyperlink" Target="https://pl.wikipedia.org/wiki/Lista_film%C3%B3w_z_najwi%C4%99ksz%C4%85_liczb%C4%85_widz%C3%B3w_w_Polsce" TargetMode="External" Id="rId284"/><Relationship Type="http://schemas.openxmlformats.org/officeDocument/2006/relationships/hyperlink" Target="https://www.themoviedb.org/movie/66030" TargetMode="External" Id="rId285"/><Relationship Type="http://schemas.openxmlformats.org/officeDocument/2006/relationships/hyperlink" Target="https://pt.wikipedia.org/wiki/A_Gaiola_Dourada" TargetMode="External" Id="rId286"/><Relationship Type="http://schemas.openxmlformats.org/officeDocument/2006/relationships/hyperlink" Target="https://www.themoviedb.org/movie/186161" TargetMode="External" Id="rId287"/><Relationship Type="http://schemas.openxmlformats.org/officeDocument/2006/relationships/hyperlink" Target="https://www.themoviedb.org/movie/1069200" TargetMode="External" Id="rId288"/><Relationship Type="http://schemas.openxmlformats.org/officeDocument/2006/relationships/hyperlink" Target="https://www.themoviedb.org/movie/1069200" TargetMode="External" Id="rId289"/><Relationship Type="http://schemas.openxmlformats.org/officeDocument/2006/relationships/hyperlink" Target="https://www.themoviedb.org/movie/1666683" TargetMode="External" Id="rId290"/><Relationship Type="http://schemas.openxmlformats.org/officeDocument/2006/relationships/hyperlink" Target="https://www.themoviedb.org/movie/1666683" TargetMode="External" Id="rId291"/><Relationship Type="http://schemas.openxmlformats.org/officeDocument/2006/relationships/hyperlink" Target="https://eldia.com.do/las-10-peliculasdominicanas-mas-taquilleras-de-todos-los-tiempos/" TargetMode="External" Id="rId292"/><Relationship Type="http://schemas.openxmlformats.org/officeDocument/2006/relationships/hyperlink" Target="https://www.themoviedb.org/movie/25000" TargetMode="External" Id="rId293"/><Relationship Type="http://schemas.openxmlformats.org/officeDocument/2006/relationships/hyperlink" Target="https://ro.wikipedia.org/wiki/Nea_M%C4%83rin_miliardar" TargetMode="External" Id="rId294"/><Relationship Type="http://schemas.openxmlformats.org/officeDocument/2006/relationships/hyperlink" Target="https://www.themoviedb.org/movie/179519" TargetMode="External" Id="rId295"/><Relationship Type="http://schemas.openxmlformats.org/officeDocument/2006/relationships/hyperlink" Target="https://en.wikipedia.org/wiki/List_of_highest-grossing_films_in_the_United_Kingdom" TargetMode="External" Id="rId296"/><Relationship Type="http://schemas.openxmlformats.org/officeDocument/2006/relationships/hyperlink" Target="https://www.themoviedb.org/movie/254261" TargetMode="External" Id="rId297"/><Relationship Type="http://schemas.openxmlformats.org/officeDocument/2006/relationships/hyperlink" Target="https://ru.wikipedia.org/wiki/&#1057;&#1087;&#1080;&#1089;&#1086;&#1082;_&#1089;&#1072;&#1084;&#1099;&#1093;_&#1082;&#1072;&#1089;&#1089;&#1086;&#1074;&#1099;&#1093;_&#1092;&#1080;&#1083;&#1100;&#1084;&#1086;&#1074;_&#1074;_&#1056;&#1086;&#1089;&#1089;&#1080;&#1080;" TargetMode="External" Id="rId298"/><Relationship Type="http://schemas.openxmlformats.org/officeDocument/2006/relationships/hyperlink" Target="https://www.themoviedb.org/movie/751171" TargetMode="External" Id="rId299"/><Relationship Type="http://schemas.openxmlformats.org/officeDocument/2006/relationships/hyperlink" Target="https://filmsaroundthe.world/country/rwanda/films/the-mercy-of-the-jungle-f656951146a226db0/" TargetMode="External" Id="rId300"/><Relationship Type="http://schemas.openxmlformats.org/officeDocument/2006/relationships/hyperlink" Target="https://www.themoviedb.org/movie/515348" TargetMode="External" Id="rId301"/><Relationship Type="http://schemas.openxmlformats.org/officeDocument/2006/relationships/hyperlink" Target="https://www.themoviedb.org/movie/1138749" TargetMode="External" Id="rId302"/><Relationship Type="http://schemas.openxmlformats.org/officeDocument/2006/relationships/hyperlink" Target="https://www.themoviedb.org/movie/1138749" TargetMode="External" Id="rId303"/><Relationship Type="http://schemas.openxmlformats.org/officeDocument/2006/relationships/hyperlink" Target="https://www.themoviedb.org/movie/1596771" TargetMode="External" Id="rId304"/><Relationship Type="http://schemas.openxmlformats.org/officeDocument/2006/relationships/hyperlink" Target="https://www.themoviedb.org/movie/1596771" TargetMode="External" Id="rId305"/><Relationship Type="http://schemas.openxmlformats.org/officeDocument/2006/relationships/hyperlink" Target="https://www.themoviedb.org/movie/1404691" TargetMode="External" Id="rId306"/><Relationship Type="http://schemas.openxmlformats.org/officeDocument/2006/relationships/hyperlink" Target="https://www.themoviedb.org/movie/1404691" TargetMode="External" Id="rId307"/><Relationship Type="http://schemas.openxmlformats.org/officeDocument/2006/relationships/hyperlink" Target="https://www.themoviedb.org/movie/999158" TargetMode="External" Id="rId308"/><Relationship Type="http://schemas.openxmlformats.org/officeDocument/2006/relationships/hyperlink" Target="https://www.themoviedb.org/movie/999158" TargetMode="External" Id="rId309"/><Relationship Type="http://schemas.openxmlformats.org/officeDocument/2006/relationships/hyperlink" Target="https://www.screendaily.com/news/premiere-entertainment-groups-the-ballad-of-hortensia-smashes-el-salvador-box-office-record-exclusive/5200419.article" TargetMode="External" Id="rId310"/><Relationship Type="http://schemas.openxmlformats.org/officeDocument/2006/relationships/hyperlink" Target="https://www.themoviedb.org/movie/1366250" TargetMode="External" Id="rId311"/><Relationship Type="http://schemas.openxmlformats.org/officeDocument/2006/relationships/hyperlink" Target="https://filmsaroundthe.world/country/samoa/films/the-orator-f9c4e654658588bed/" TargetMode="External" Id="rId312"/><Relationship Type="http://schemas.openxmlformats.org/officeDocument/2006/relationships/hyperlink" Target="https://www.themoviedb.org/movie/77322" TargetMode="External" Id="rId313"/><Relationship Type="http://schemas.openxmlformats.org/officeDocument/2006/relationships/hyperlink" Target="https://filmsaroundthe.world/country/sao-tome-and-principe/films/a-frutinha-do-equador-f3ee1b3165ff9340c/" TargetMode="External" Id="rId314"/><Relationship Type="http://schemas.openxmlformats.org/officeDocument/2006/relationships/hyperlink" Target="https://www.themoviedb.org/movie/77771" TargetMode="External" Id="rId315"/><Relationship Type="http://schemas.openxmlformats.org/officeDocument/2006/relationships/hyperlink" Target="https://www.themoviedb.org/movie/77771" TargetMode="External" Id="rId316"/><Relationship Type="http://schemas.openxmlformats.org/officeDocument/2006/relationships/hyperlink" Target="https://en.wikipedia.org/wiki/Montevideo,_God_Bless_You!" TargetMode="External" Id="rId317"/><Relationship Type="http://schemas.openxmlformats.org/officeDocument/2006/relationships/hyperlink" Target="https://www.themoviedb.org/movie/57419" TargetMode="External" Id="rId318"/><Relationship Type="http://schemas.openxmlformats.org/officeDocument/2006/relationships/hyperlink" Target="https://filmsaroundthe.world/country/seychelles/films/bolot-feray-f7549482b57cf5ed7/" TargetMode="External" Id="rId319"/><Relationship Type="http://schemas.openxmlformats.org/officeDocument/2006/relationships/hyperlink" Target="https://www.themoviedb.org/movie/621202" TargetMode="External" Id="rId320"/><Relationship Type="http://schemas.openxmlformats.org/officeDocument/2006/relationships/hyperlink" Target="https://www.themoviedb.org/movie/1251987" TargetMode="External" Id="rId321"/><Relationship Type="http://schemas.openxmlformats.org/officeDocument/2006/relationships/hyperlink" Target="https://www.themoviedb.org/movie/1251987" TargetMode="External" Id="rId322"/><Relationship Type="http://schemas.openxmlformats.org/officeDocument/2006/relationships/hyperlink" Target="https://en.wikipedia.org/wiki/List_of_highest-grossing_films_in_Singapore" TargetMode="External" Id="rId323"/><Relationship Type="http://schemas.openxmlformats.org/officeDocument/2006/relationships/hyperlink" Target="https://www.themoviedb.org/movie/193173" TargetMode="External" Id="rId324"/><Relationship Type="http://schemas.openxmlformats.org/officeDocument/2006/relationships/hyperlink" Target="https://www.film.sk" TargetMode="External" Id="rId325"/><Relationship Type="http://schemas.openxmlformats.org/officeDocument/2006/relationships/hyperlink" Target="https://www.themoviedb.org/movie/650981" TargetMode="External" Id="rId326"/><Relationship Type="http://schemas.openxmlformats.org/officeDocument/2006/relationships/hyperlink" Target="https://sl.wikipedia.org/wiki/Seznam_najbolj_gledanih_slovenskih_filmov_v_Sloveniji" TargetMode="External" Id="rId327"/><Relationship Type="http://schemas.openxmlformats.org/officeDocument/2006/relationships/hyperlink" Target="https://www.themoviedb.org/movie/421802" TargetMode="External" Id="rId328"/><Relationship Type="http://schemas.openxmlformats.org/officeDocument/2006/relationships/hyperlink" Target="https://filmsaroundthe.world/country/somalia/films/geedka-nolosha-faa358e95cf466bf3/" TargetMode="External" Id="rId329"/><Relationship Type="http://schemas.openxmlformats.org/officeDocument/2006/relationships/hyperlink" Target="https://www.themoviedb.org/movie/276682" TargetMode="External" Id="rId330"/><Relationship Type="http://schemas.openxmlformats.org/officeDocument/2006/relationships/hyperlink" Target="https://filmsaroundthe.world/country/sudan/films/you-will-die-at-20-f0fb74ef42e0ea990/" TargetMode="External" Id="rId331"/><Relationship Type="http://schemas.openxmlformats.org/officeDocument/2006/relationships/hyperlink" Target="https://www.themoviedb.org/movie/617710" TargetMode="External" Id="rId332"/><Relationship Type="http://schemas.openxmlformats.org/officeDocument/2006/relationships/hyperlink" Target="https://www.themoviedb.org/movie/1152618" TargetMode="External" Id="rId333"/><Relationship Type="http://schemas.openxmlformats.org/officeDocument/2006/relationships/hyperlink" Target="https://www.themoviedb.org/movie/1152618" TargetMode="External" Id="rId334"/><Relationship Type="http://schemas.openxmlformats.org/officeDocument/2006/relationships/hyperlink" Target="https://variety.com/2025/film/news/sri-lankan-comedy-tentigo-remakes-box-office-success-1236486395/" TargetMode="External" Id="rId335"/><Relationship Type="http://schemas.openxmlformats.org/officeDocument/2006/relationships/hyperlink" Target="https://www.themoviedb.org/movie/881201" TargetMode="External" Id="rId336"/><Relationship Type="http://schemas.openxmlformats.org/officeDocument/2006/relationships/hyperlink" Target="https://sv.wikipedia.org/wiki/Lista_%C3%B6ver_mest_sedda_filmer_i_Sverige" TargetMode="External" Id="rId337"/><Relationship Type="http://schemas.openxmlformats.org/officeDocument/2006/relationships/hyperlink" Target="https://www.themoviedb.org/movie/16026" TargetMode="External" Id="rId338"/><Relationship Type="http://schemas.openxmlformats.org/officeDocument/2006/relationships/hyperlink" Target="https://outnow.ch" TargetMode="External" Id="rId339"/><Relationship Type="http://schemas.openxmlformats.org/officeDocument/2006/relationships/hyperlink" Target="https://www.themoviedb.org/movie/34666" TargetMode="External" Id="rId340"/><Relationship Type="http://schemas.openxmlformats.org/officeDocument/2006/relationships/hyperlink" Target="https://www.themoviedb.org/movie/65432" TargetMode="External" Id="rId341"/><Relationship Type="http://schemas.openxmlformats.org/officeDocument/2006/relationships/hyperlink" Target="https://www.themoviedb.org/movie/65432" TargetMode="External" Id="rId342"/><Relationship Type="http://schemas.openxmlformats.org/officeDocument/2006/relationships/hyperlink" Target="https://www.themoviedb.org/movie/178535" TargetMode="External" Id="rId343"/><Relationship Type="http://schemas.openxmlformats.org/officeDocument/2006/relationships/hyperlink" Target="https://www.themoviedb.org/movie/178535" TargetMode="External" Id="rId344"/><Relationship Type="http://schemas.openxmlformats.org/officeDocument/2006/relationships/hyperlink" Target="https://filmsaroundthe.world/country/tajikistan/films/the-bodyguard-f95f978289c2ebe76/" TargetMode="External" Id="rId345"/><Relationship Type="http://schemas.openxmlformats.org/officeDocument/2006/relationships/hyperlink" Target="https://www.themoviedb.org/movie/262514" TargetMode="External" Id="rId346"/><Relationship Type="http://schemas.openxmlformats.org/officeDocument/2006/relationships/hyperlink" Target="https://www.cna.com.tw/news/amov/202602150093.aspx" TargetMode="External" Id="rId347"/><Relationship Type="http://schemas.openxmlformats.org/officeDocument/2006/relationships/hyperlink" Target="https://www.themoviedb.org/movie/1481955" TargetMode="External" Id="rId348"/><Relationship Type="http://schemas.openxmlformats.org/officeDocument/2006/relationships/hyperlink" Target="https://www.themoviedb.org/movie/164233" TargetMode="External" Id="rId349"/><Relationship Type="http://schemas.openxmlformats.org/officeDocument/2006/relationships/hyperlink" Target="https://www.themoviedb.org/movie/164233" TargetMode="External" Id="rId350"/><Relationship Type="http://schemas.openxmlformats.org/officeDocument/2006/relationships/hyperlink" Target="https://filmsaroundthe.world/country/chad/films/bye-bye-africa-fb34bc995d48acfbe/" TargetMode="External" Id="rId351"/><Relationship Type="http://schemas.openxmlformats.org/officeDocument/2006/relationships/hyperlink" Target="https://cs.wikipedia.org/wiki/Seznam_nejnav%C5%A1t%C4%9Bvovan%C4%9Bj%C5%A1%C3%ADch_%C4%8Desk%C3%BDch_film%C5%AF" TargetMode="External" Id="rId352"/><Relationship Type="http://schemas.openxmlformats.org/officeDocument/2006/relationships/hyperlink" Target="https://www.themoviedb.org/movie/41228" TargetMode="External" Id="rId353"/><Relationship Type="http://schemas.openxmlformats.org/officeDocument/2006/relationships/hyperlink" Target="https://en.wikipedia.org/wiki/List_of_highest-grossing_films_in_Thailand" TargetMode="External" Id="rId354"/><Relationship Type="http://schemas.openxmlformats.org/officeDocument/2006/relationships/hyperlink" Target="https://www.themoviedb.org/movie/184219" TargetMode="External" Id="rId355"/><Relationship Type="http://schemas.openxmlformats.org/officeDocument/2006/relationships/hyperlink" Target="https://filmsaroundthe.world/country/east-timor/films/beatriz-s-war-fb1c1aa7b9ce8fd0c/" TargetMode="External" Id="rId356"/><Relationship Type="http://schemas.openxmlformats.org/officeDocument/2006/relationships/hyperlink" Target="https://www.themoviedb.org/movie/275008" TargetMode="External" Id="rId357"/><Relationship Type="http://schemas.openxmlformats.org/officeDocument/2006/relationships/hyperlink" Target="https://filmsaroundthe.world/country/togo/films/le-coup-de-grace-fc63bbe54e7798945/" TargetMode="External" Id="rId358"/><Relationship Type="http://schemas.openxmlformats.org/officeDocument/2006/relationships/hyperlink" Target="https://www.themoviedb.org/movie/1086356" TargetMode="External" Id="rId359"/><Relationship Type="http://schemas.openxmlformats.org/officeDocument/2006/relationships/hyperlink" Target="https://www.themoviedb.org/movie/798772" TargetMode="External" Id="rId360"/><Relationship Type="http://schemas.openxmlformats.org/officeDocument/2006/relationships/hyperlink" Target="https://www.themoviedb.org/movie/798772" TargetMode="External" Id="rId361"/><Relationship Type="http://schemas.openxmlformats.org/officeDocument/2006/relationships/hyperlink" Target="https://filmsaroundthe.world/country/trinidad-and-tobago/films/god-loves-the-fighter-f665c27028fc8a3c0/" TargetMode="External" Id="rId362"/><Relationship Type="http://schemas.openxmlformats.org/officeDocument/2006/relationships/hyperlink" Target="https://www.themoviedb.org/movie/307631" TargetMode="External" Id="rId363"/><Relationship Type="http://schemas.openxmlformats.org/officeDocument/2006/relationships/hyperlink" Target="https://www.themoviedb.org/movie/1480382" TargetMode="External" Id="rId364"/><Relationship Type="http://schemas.openxmlformats.org/officeDocument/2006/relationships/hyperlink" Target="https://www.themoviedb.org/movie/1480382" TargetMode="External" Id="rId365"/><Relationship Type="http://schemas.openxmlformats.org/officeDocument/2006/relationships/hyperlink" Target="https://filmsaroundthe.world/country/turkmenistan/films/the-daughter-in-law-f74630997f93ef780/" TargetMode="External" Id="rId366"/><Relationship Type="http://schemas.openxmlformats.org/officeDocument/2006/relationships/hyperlink" Target="https://www.themoviedb.org/movie/108526" TargetMode="External" Id="rId367"/><Relationship Type="http://schemas.openxmlformats.org/officeDocument/2006/relationships/hyperlink" Target="https://tr.wikipedia.org/wiki/En_&#231;ok_izlenen_T&#252;rk_yap&#305;m&#305;_100_film" TargetMode="External" Id="rId368"/><Relationship Type="http://schemas.openxmlformats.org/officeDocument/2006/relationships/hyperlink" Target="https://www.themoviedb.org/movie/438703" TargetMode="External" Id="rId369"/><Relationship Type="http://schemas.openxmlformats.org/officeDocument/2006/relationships/hyperlink" Target="https://www.themoviedb.org/movie/287423" TargetMode="External" Id="rId370"/><Relationship Type="http://schemas.openxmlformats.org/officeDocument/2006/relationships/hyperlink" Target="https://www.themoviedb.org/movie/287423" TargetMode="External" Id="rId371"/><Relationship Type="http://schemas.openxmlformats.org/officeDocument/2006/relationships/hyperlink" Target="https://en.wikipedia.org/wiki/Crazy_Wedding" TargetMode="External" Id="rId372"/><Relationship Type="http://schemas.openxmlformats.org/officeDocument/2006/relationships/hyperlink" Target="https://www.themoviedb.org/movie/552441" TargetMode="External" Id="rId373"/><Relationship Type="http://schemas.openxmlformats.org/officeDocument/2006/relationships/hyperlink" Target="https://www.subrayado.com.uy/uruguay-el-cine-estas-son-las-peliculas-mas-vistas-la-historia-n1016292" TargetMode="External" Id="rId374"/><Relationship Type="http://schemas.openxmlformats.org/officeDocument/2006/relationships/hyperlink" Target="https://www.themoviedb.org/movie/61072" TargetMode="External" Id="rId375"/><Relationship Type="http://schemas.openxmlformats.org/officeDocument/2006/relationships/hyperlink" Target="https://www.themoviedb.org/movie/933949" TargetMode="External" Id="rId376"/><Relationship Type="http://schemas.openxmlformats.org/officeDocument/2006/relationships/hyperlink" Target="https://www.themoviedb.org/movie/933949" TargetMode="External" Id="rId377"/><Relationship Type="http://schemas.openxmlformats.org/officeDocument/2006/relationships/hyperlink" Target="https://es.wikipedia.org/wiki/Cine_de_Venezuela" TargetMode="External" Id="rId378"/><Relationship Type="http://schemas.openxmlformats.org/officeDocument/2006/relationships/hyperlink" Target="https://www.themoviedb.org/movie/248424" TargetMode="External" Id="rId379"/><Relationship Type="http://schemas.openxmlformats.org/officeDocument/2006/relationships/hyperlink" Target="https://en.wikipedia.org/wiki/List_of_highest-grossing_films_in_Vietnam" TargetMode="External" Id="rId380"/><Relationship Type="http://schemas.openxmlformats.org/officeDocument/2006/relationships/hyperlink" Target="https://www.themoviedb.org/movie/1468704" TargetMode="External" Id="rId381"/><Relationship Type="http://schemas.openxmlformats.org/officeDocument/2006/relationships/hyperlink" Target="https://filmsaroundthe.world/country/yemen/films/i-m-nojoum-age-10-and-divorced-f9b86d068ccb9a509/" TargetMode="External" Id="rId382"/><Relationship Type="http://schemas.openxmlformats.org/officeDocument/2006/relationships/hyperlink" Target="https://filmsaroundthe.world/country/zambia/films/on-becoming-a-guinea-fowl-f65047675c0d22ae7/" TargetMode="External" Id="rId383"/><Relationship Type="http://schemas.openxmlformats.org/officeDocument/2006/relationships/hyperlink" Target="https://www.themoviedb.org/movie/1082938" TargetMode="External" Id="rId384"/><Relationship Type="http://schemas.openxmlformats.org/officeDocument/2006/relationships/hyperlink" Target="https://filmsaroundthe.world/country/zimbabwe/films/flame-f48907e7518b3bb59/" TargetMode="External" Id="rId385"/><Relationship Type="http://schemas.openxmlformats.org/officeDocument/2006/relationships/hyperlink" Target="https://www.themoviedb.org/movie/272183" TargetMode="External" Id="rId386"/><Relationship Type="http://schemas.openxmlformats.org/officeDocument/2006/relationships/table" Target="/xl/tables/table1.xml" Id="rId387"/></Relationships>
</file>

<file path=xl/worksheets/sheet1.xml><?xml version="1.0" encoding="utf-8"?>
<worksheet xmlns="http://schemas.openxmlformats.org/spreadsheetml/2006/main">
  <sheetPr>
    <outlinePr summaryBelow="1" summaryRight="1"/>
    <pageSetUpPr/>
  </sheetPr>
  <dimension ref="A1:S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8" customWidth="1" min="3" max="3"/>
    <col width="22" customWidth="1" min="4" max="4"/>
    <col width="34" customWidth="1" min="5" max="5"/>
    <col width="32" customWidth="1" min="6" max="6"/>
    <col width="7" customWidth="1" min="7" max="7"/>
    <col width="8" customWidth="1" min="8" max="8"/>
    <col width="10" customWidth="1" min="9" max="9"/>
    <col width="10" customWidth="1" min="10" max="10"/>
    <col width="34" customWidth="1" min="11" max="11"/>
    <col width="48" customWidth="1" min="12" max="12"/>
    <col width="40" customWidth="1" min="13" max="13"/>
    <col width="36" customWidth="1" min="14" max="14"/>
    <col width="28" customWidth="1" min="15" max="15"/>
    <col width="34" customWidth="1" min="16" max="16"/>
    <col width="34" customWidth="1" min="17" max="17"/>
    <col width="40" customWidth="1" min="18" max="18"/>
    <col width="60" customWidth="1" min="19" max="19"/>
  </cols>
  <sheetData>
    <row r="1">
      <c r="A1" s="1" t="inlineStr">
        <is>
          <t>Pays</t>
        </is>
      </c>
      <c r="B1" s="1" t="inlineStr">
        <is>
          <t>Continent</t>
        </is>
      </c>
      <c r="C1" s="1" t="inlineStr">
        <is>
          <t>Niveau</t>
        </is>
      </c>
      <c r="D1" s="1" t="inlineStr">
        <is>
          <t>Fiabilité</t>
        </is>
      </c>
      <c r="E1" s="1" t="inlineStr">
        <is>
          <t>Titre original</t>
        </is>
      </c>
      <c r="F1" s="1" t="inlineStr">
        <is>
          <t>Titre français</t>
        </is>
      </c>
      <c r="G1" s="1" t="inlineStr">
        <is>
          <t>Année</t>
        </is>
      </c>
      <c r="H1" s="1" t="inlineStr">
        <is>
          <t>Langue</t>
        </is>
      </c>
      <c r="I1" s="1" t="inlineStr">
        <is>
          <t>Animation</t>
        </is>
      </c>
      <c r="J1" s="1" t="inlineStr">
        <is>
          <t>Durée (min)</t>
        </is>
      </c>
      <c r="K1" s="2" t="inlineStr">
        <is>
          <t>Critère</t>
        </is>
      </c>
      <c r="L1" s="2" t="inlineStr">
        <is>
          <t>Où le voir en France</t>
        </is>
      </c>
      <c r="M1" s="2" t="inlineStr">
        <is>
          <t>Source du classement</t>
        </is>
      </c>
      <c r="N1" s="2" t="inlineStr">
        <is>
          <t>Fiche TMDB</t>
        </is>
      </c>
      <c r="O1" s="2" t="inlineStr">
        <is>
          <t>2e du classement</t>
        </is>
      </c>
      <c r="P1" s="2" t="inlineStr">
        <is>
          <t>Le plus voté sur TMDB</t>
        </is>
      </c>
      <c r="Q1" s="2" t="inlineStr">
        <is>
          <t>Choix critique (Films Around the World)</t>
        </is>
      </c>
      <c r="R1" s="2" t="inlineStr">
        <is>
          <t>Phénomène vidéo / YouTube</t>
        </is>
      </c>
      <c r="S1" s="2" t="inlineStr">
        <is>
          <t>Notes</t>
        </is>
      </c>
    </row>
    <row r="2">
      <c r="A2" s="3" t="inlineStr">
        <is>
          <t>Afghanistan</t>
        </is>
      </c>
      <c r="B2" s="3" t="inlineStr">
        <is>
          <t>Asie</t>
        </is>
      </c>
      <c r="C2" s="4" t="inlineStr">
        <is>
          <t>B</t>
        </is>
      </c>
      <c r="D2" s="3" t="inlineStr">
        <is>
          <t>moyenne</t>
        </is>
      </c>
      <c r="E2" s="3" t="inlineStr">
        <is>
          <t>Osama</t>
        </is>
      </c>
      <c r="F2" s="3" t="inlineStr">
        <is>
          <t>Osama</t>
        </is>
      </c>
      <c r="G2" s="3" t="inlineStr">
        <is>
          <t>2004</t>
        </is>
      </c>
      <c r="H2" s="3" t="inlineStr">
        <is>
          <t>fa</t>
        </is>
      </c>
      <c r="I2" s="3" t="inlineStr"/>
      <c r="J2" s="3" t="n">
        <v>80</v>
      </c>
      <c r="K2" s="5" t="inlineStr">
        <is>
          <t>popularité TMDB : 137 votes</t>
        </is>
      </c>
      <c r="L2" s="5" t="inlineStr">
        <is>
          <t>location : Sooner ; achat : Sooner</t>
        </is>
      </c>
      <c r="M2" s="6" t="inlineStr">
        <is>
          <t>https://www.themoviedb.org/movie/14757</t>
        </is>
      </c>
      <c r="N2" s="6" t="inlineStr">
        <is>
          <t>https://www.themoviedb.org/movie/14757</t>
        </is>
      </c>
      <c r="O2" s="5" t="inlineStr"/>
      <c r="P2" s="5" t="inlineStr">
        <is>
          <t>Osama (2004, 137 votes)</t>
        </is>
      </c>
      <c r="Q2" s="5" t="inlineStr">
        <is>
          <t>Osama (2004)</t>
        </is>
      </c>
      <c r="R2" s="5" t="inlineStr">
        <is>
          <t>{"title": null, "views": null, "url": null, "note": "Aucun film afghan identifié comme phénomène vidéo avec chiffre fiable."}</t>
        </is>
      </c>
      <c r="S2" s="5" t="inlineStr">
        <is>
          <t>Pas de box-office domestique. Wikipedia cite Osama (2003) comme film afghan le plus rentable (3,8 M$ worldwide, non domestique, financement étranger). / No sourced box office data.</t>
        </is>
      </c>
    </row>
    <row r="3">
      <c r="A3" s="3" t="inlineStr">
        <is>
          <t>Afrique du Sud</t>
        </is>
      </c>
      <c r="B3" s="3" t="inlineStr">
        <is>
          <t>Afrique</t>
        </is>
      </c>
      <c r="C3" s="7" t="inlineStr">
        <is>
          <t>A</t>
        </is>
      </c>
      <c r="D3" s="3" t="inlineStr">
        <is>
          <t>bonne</t>
        </is>
      </c>
      <c r="E3" s="3" t="inlineStr">
        <is>
          <t>Mr. Bones 2: Back from the Past</t>
        </is>
      </c>
      <c r="F3" s="3" t="inlineStr">
        <is>
          <t>Mr. Bones 2: Back from the Past</t>
        </is>
      </c>
      <c r="G3" s="3" t="inlineStr">
        <is>
          <t>2008</t>
        </is>
      </c>
      <c r="H3" s="3" t="inlineStr">
        <is>
          <t>en</t>
        </is>
      </c>
      <c r="I3" s="3" t="inlineStr"/>
      <c r="J3" s="3" t="n">
        <v>101</v>
      </c>
      <c r="K3" s="5" t="inlineStr">
        <is>
          <t>recettes nationales : R 70,8 millions</t>
        </is>
      </c>
      <c r="L3" s="5" t="inlineStr"/>
      <c r="M3" s="6" t="inlineStr">
        <is>
          <t>https://en.wikipedia.org/wiki/Mr_Bones_2:_Back_from_the_Past</t>
        </is>
      </c>
      <c r="N3" s="6" t="inlineStr">
        <is>
          <t>https://www.themoviedb.org/movie/30245</t>
        </is>
      </c>
      <c r="O3" s="5" t="inlineStr">
        <is>
          <t>Mr. Bones (2001) : R33 millions</t>
        </is>
      </c>
      <c r="P3" s="5" t="inlineStr">
        <is>
          <t>The Gods Must Be Crazy (1980, 1387 votes)</t>
        </is>
      </c>
      <c r="Q3" s="5" t="inlineStr">
        <is>
          <t>Mapantsula (1988)</t>
        </is>
      </c>
      <c r="R3" s="5" t="inlineStr"/>
      <c r="S3" s="5" t="inlineStr">
        <is>
          <t>Source primaire : communiqué du distributeur Videovision (« highest grossing South African film of all time »), repris par Wikipedia. Pas de chiffre d'entrées. Film en anglais/afrikaans. Aucun film plus récent confirmé au-dessus, mais non vérifié exhaustivement.</t>
        </is>
      </c>
    </row>
    <row r="4">
      <c r="A4" s="3" t="inlineStr">
        <is>
          <t>Albanie</t>
        </is>
      </c>
      <c r="B4" s="3" t="inlineStr">
        <is>
          <t>Europe</t>
        </is>
      </c>
      <c r="C4" s="8" t="inlineStr">
        <is>
          <t>D</t>
        </is>
      </c>
      <c r="D4" s="3" t="inlineStr">
        <is>
          <t>très faible (moins de 50 votes)</t>
        </is>
      </c>
      <c r="E4" s="3" t="inlineStr">
        <is>
          <t>Tomka dhe shokët e tij</t>
        </is>
      </c>
      <c r="F4" s="3" t="inlineStr">
        <is>
          <t>Tomka et ses amis</t>
        </is>
      </c>
      <c r="G4" s="3" t="inlineStr">
        <is>
          <t>1977</t>
        </is>
      </c>
      <c r="H4" s="3" t="inlineStr">
        <is>
          <t>sq</t>
        </is>
      </c>
      <c r="I4" s="3" t="inlineStr"/>
      <c r="J4" s="3" t="n">
        <v>75</v>
      </c>
      <c r="K4" s="5" t="inlineStr">
        <is>
          <t>popularité TMDB : 16 votes</t>
        </is>
      </c>
      <c r="L4" s="5" t="inlineStr"/>
      <c r="M4" s="6" t="inlineStr">
        <is>
          <t>https://www.themoviedb.org/search?query=Tomka%20dhe%20shok%C3%ABt%20e%20tij</t>
        </is>
      </c>
      <c r="N4" s="6" t="inlineStr">
        <is>
          <t>https://www.themoviedb.org/movie/263014</t>
        </is>
      </c>
      <c r="O4" s="5" t="inlineStr"/>
      <c r="P4" s="5" t="inlineStr">
        <is>
          <t>Zgjoi (2021, 90 votes)</t>
        </is>
      </c>
      <c r="Q4" s="5" t="inlineStr">
        <is>
          <t>Amsterdam Express (2014)</t>
        </is>
      </c>
      <c r="R4" s="5" t="inlineStr"/>
      <c r="S4" s="5" t="inlineStr">
        <is>
          <t>Arbitrage manuel : TMDB proposait Zgjoi (Hive), qui est un film kosovar, attribué au Kosovo. Tomka dhe shokët e tij est un classique des studios Kinostudio, 100 % albanais. Pas de donnée sourcée. / Pas de donnée sourcée.</t>
        </is>
      </c>
    </row>
    <row r="5">
      <c r="A5" s="3" t="inlineStr">
        <is>
          <t>Algérie</t>
        </is>
      </c>
      <c r="B5" s="3" t="inlineStr">
        <is>
          <t>Afrique</t>
        </is>
      </c>
      <c r="C5" s="9" t="inlineStr">
        <is>
          <t>C</t>
        </is>
      </c>
      <c r="D5" s="3" t="inlineStr">
        <is>
          <t>faible (choix éditorial, pas d'audience)</t>
        </is>
      </c>
      <c r="E5" s="3" t="inlineStr">
        <is>
          <t>La battaglia di Algeri</t>
        </is>
      </c>
      <c r="F5" s="3" t="inlineStr">
        <is>
          <t>La Bataille d'Alger</t>
        </is>
      </c>
      <c r="G5" s="3" t="inlineStr">
        <is>
          <t>1966</t>
        </is>
      </c>
      <c r="H5" s="3" t="inlineStr">
        <is>
          <t>ar</t>
        </is>
      </c>
      <c r="I5" s="3" t="inlineStr"/>
      <c r="J5" s="3" t="n">
        <v>121</v>
      </c>
      <c r="K5" s="5" t="inlineStr">
        <is>
          <t>choix « native » de Films Around the World</t>
        </is>
      </c>
      <c r="L5" s="5" t="inlineStr">
        <is>
          <t>location : Apple TV Store, Orange VOD, YouTube, Canal VOD ; achat : Apple TV Store, Orange VOD, YouTube, Canal VOD</t>
        </is>
      </c>
      <c r="M5" s="6" t="inlineStr">
        <is>
          <t>https://filmsaroundthe.world/</t>
        </is>
      </c>
      <c r="N5" s="6" t="inlineStr">
        <is>
          <t>https://www.themoviedb.org/movie/17295</t>
        </is>
      </c>
      <c r="O5" s="5" t="inlineStr"/>
      <c r="P5" s="5" t="inlineStr">
        <is>
          <t>Al-risâlah (1976, 53 votes)</t>
        </is>
      </c>
      <c r="Q5" s="5" t="inlineStr">
        <is>
          <t>The Battle of Algiers (1966)</t>
        </is>
      </c>
      <c r="R5" s="5" t="inlineStr"/>
      <c r="S5" s="5" t="inlineStr">
        <is>
          <t>Arbitrage manuel : TMDB proposait Le Message (1976), financé par la Libye. La Bataille d'Alger est une coproduction italo-algérienne (Casbah Films), tournée en arabe et en français. Pas de box-office suivi publiquement pour les films nationaux. Aucun record documenté trouvé. Pistes historiques (Hassan Terro, Chronique des années de braise) non chiffrées. / pas de box-office national suivi ou publié trouvé</t>
        </is>
      </c>
    </row>
    <row r="6">
      <c r="A6" s="3" t="inlineStr">
        <is>
          <t>Allemagne</t>
        </is>
      </c>
      <c r="B6" s="3" t="inlineStr">
        <is>
          <t>Europe</t>
        </is>
      </c>
      <c r="C6" s="7" t="inlineStr">
        <is>
          <t>A</t>
        </is>
      </c>
      <c r="D6" s="3" t="inlineStr">
        <is>
          <t>bonne (entrées estimées)</t>
        </is>
      </c>
      <c r="E6" s="3" t="inlineStr">
        <is>
          <t>Die Trapp-Familie</t>
        </is>
      </c>
      <c r="F6" s="3" t="inlineStr">
        <is>
          <t>Die Trapp-Familie</t>
        </is>
      </c>
      <c r="G6" s="3" t="inlineStr">
        <is>
          <t>1956</t>
        </is>
      </c>
      <c r="H6" s="3" t="inlineStr">
        <is>
          <t>de</t>
        </is>
      </c>
      <c r="I6" s="3" t="inlineStr"/>
      <c r="J6" s="3" t="n">
        <v>106</v>
      </c>
      <c r="K6" s="5" t="inlineStr">
        <is>
          <t>entrées : environ 26,8 M (estimation, Allemagne de l'Ouest)</t>
        </is>
      </c>
      <c r="L6" s="5" t="inlineStr"/>
      <c r="M6" s="6" t="inlineStr">
        <is>
          <t>https://www.insidekino.com/DJahr/DAlltimeDeutsch50.htm</t>
        </is>
      </c>
      <c r="N6" s="6" t="inlineStr">
        <is>
          <t>https://www.themoviedb.org/movie/83062</t>
        </is>
      </c>
      <c r="O6" s="5" t="inlineStr">
        <is>
          <t>08/15 (1954) et Der Hauptmann von Köpenick (1956), 14,6 M chacun</t>
        </is>
      </c>
      <c r="P6" s="5" t="inlineStr">
        <is>
          <t>Im Westen nichts Neues (2022, 5017 votes)</t>
        </is>
      </c>
      <c r="Q6" s="5" t="inlineStr">
        <is>
          <t>M (1931)</t>
        </is>
      </c>
      <c r="R6" s="5" t="inlineStr"/>
      <c r="S6" s="5" t="inlineStr">
        <is>
          <t>Arbitrage après vérification : même règle que la Pologne et le Royaume-Uni (records anciens acceptés). Record après 1990 : Der Schuh des Manitu (2001), 11,7 M. En RDA, Die Geschichte vom kleinen Muck (1953) a fait près de 13 M d'entrées. Ambigu selon le périmètre.</t>
        </is>
      </c>
    </row>
    <row r="7">
      <c r="A7" s="3" t="inlineStr">
        <is>
          <t>Andorre</t>
        </is>
      </c>
      <c r="B7" s="3" t="inlineStr">
        <is>
          <t>Europe</t>
        </is>
      </c>
      <c r="C7" s="8" t="inlineStr">
        <is>
          <t>D</t>
        </is>
      </c>
      <c r="D7" s="3" t="inlineStr">
        <is>
          <t>très faible (moins de 50 votes)</t>
        </is>
      </c>
      <c r="E7" s="3" t="inlineStr">
        <is>
          <t>Temporada Baixa</t>
        </is>
      </c>
      <c r="F7" s="3" t="inlineStr">
        <is>
          <t>Temporada Baixa</t>
        </is>
      </c>
      <c r="G7" s="3" t="inlineStr"/>
      <c r="H7" s="3" t="inlineStr">
        <is>
          <t>ca</t>
        </is>
      </c>
      <c r="I7" s="3" t="inlineStr"/>
      <c r="J7" s="3" t="inlineStr"/>
      <c r="K7" s="5" t="inlineStr">
        <is>
          <t>popularité TMDB : 0 votes</t>
        </is>
      </c>
      <c r="L7" s="5" t="inlineStr"/>
      <c r="M7" s="6" t="inlineStr">
        <is>
          <t>https://www.themoviedb.org/movie/1638553</t>
        </is>
      </c>
      <c r="N7" s="6" t="inlineStr">
        <is>
          <t>https://www.themoviedb.org/movie/1638553</t>
        </is>
      </c>
      <c r="O7" s="5" t="inlineStr"/>
      <c r="P7" s="5" t="inlineStr">
        <is>
          <t>Temporada Baixa (, 0 votes)</t>
        </is>
      </c>
      <c r="Q7" s="5" t="inlineStr"/>
      <c r="R7" s="5" t="inlineStr"/>
      <c r="S7" s="5" t="inlineStr">
        <is>
          <t>Pas d'industrie nationale.</t>
        </is>
      </c>
    </row>
    <row r="8">
      <c r="A8" s="3" t="inlineStr">
        <is>
          <t>Angola</t>
        </is>
      </c>
      <c r="B8" s="3" t="inlineStr">
        <is>
          <t>Afrique</t>
        </is>
      </c>
      <c r="C8" s="9" t="inlineStr">
        <is>
          <t>C</t>
        </is>
      </c>
      <c r="D8" s="3" t="inlineStr">
        <is>
          <t>faible (choix éditorial, pas d'audience)</t>
        </is>
      </c>
      <c r="E8" s="3" t="inlineStr">
        <is>
          <t>Sambizanga</t>
        </is>
      </c>
      <c r="F8" s="3" t="inlineStr">
        <is>
          <t>Sambizanga</t>
        </is>
      </c>
      <c r="G8" s="3" t="inlineStr">
        <is>
          <t>1972</t>
        </is>
      </c>
      <c r="H8" s="3" t="inlineStr">
        <is>
          <t>ln</t>
        </is>
      </c>
      <c r="I8" s="3" t="inlineStr"/>
      <c r="J8" s="3" t="n">
        <v>98</v>
      </c>
      <c r="K8" s="5" t="inlineStr">
        <is>
          <t>choix « native » de Films Around the World</t>
        </is>
      </c>
      <c r="L8" s="5" t="inlineStr">
        <is>
          <t>location : LaCinetek ; achat : LaCinetek</t>
        </is>
      </c>
      <c r="M8" s="6" t="inlineStr">
        <is>
          <t>https://filmsaroundthe.world/country/angola/films/sambizanga-f7883e975b7e724f7/</t>
        </is>
      </c>
      <c r="N8" s="6" t="inlineStr">
        <is>
          <t>https://www.themoviedb.org/movie/87392</t>
        </is>
      </c>
      <c r="O8" s="5" t="inlineStr"/>
      <c r="P8" s="5" t="inlineStr">
        <is>
          <t>Ar Condicionado (2020, 16 votes)</t>
        </is>
      </c>
      <c r="Q8" s="5" t="inlineStr">
        <is>
          <t>Sambizanga (1972)</t>
        </is>
      </c>
      <c r="R8" s="5" t="inlineStr"/>
      <c r="S8" s="5" t="inlineStr">
        <is>
          <t>pas de box-office national suivi ou publié trouvé</t>
        </is>
      </c>
    </row>
    <row r="9">
      <c r="A9" s="3" t="inlineStr">
        <is>
          <t>Antigua-et-Barbuda</t>
        </is>
      </c>
      <c r="B9" s="3" t="inlineStr">
        <is>
          <t>Amériques</t>
        </is>
      </c>
      <c r="C9" s="9" t="inlineStr">
        <is>
          <t>C</t>
        </is>
      </c>
      <c r="D9" s="3" t="inlineStr">
        <is>
          <t>faible (choix éditorial, pas d'audience)</t>
        </is>
      </c>
      <c r="E9" s="3" t="inlineStr">
        <is>
          <t>The Sweetest Mango</t>
        </is>
      </c>
      <c r="F9" s="3" t="inlineStr">
        <is>
          <t>The Sweetest Mango</t>
        </is>
      </c>
      <c r="G9" s="3" t="inlineStr">
        <is>
          <t>2001</t>
        </is>
      </c>
      <c r="H9" s="3" t="inlineStr">
        <is>
          <t>en</t>
        </is>
      </c>
      <c r="I9" s="3" t="inlineStr"/>
      <c r="J9" s="3" t="n">
        <v>101</v>
      </c>
      <c r="K9" s="5" t="inlineStr">
        <is>
          <t>choix « native » de Films Around the World</t>
        </is>
      </c>
      <c r="L9" s="5" t="inlineStr"/>
      <c r="M9" s="6" t="inlineStr">
        <is>
          <t>https://filmsaroundthe.world/country/antigua-and-barbuda/films/the-sweetest-mango-f5ae8570bb75628ed/</t>
        </is>
      </c>
      <c r="N9" s="6" t="inlineStr">
        <is>
          <t>https://www.themoviedb.org/movie/389209</t>
        </is>
      </c>
      <c r="O9" s="5" t="inlineStr"/>
      <c r="P9" s="5" t="inlineStr">
        <is>
          <t>The Skin (2011, 5 votes)</t>
        </is>
      </c>
      <c r="Q9" s="5" t="inlineStr">
        <is>
          <t>The Sweetest Mango (2001)</t>
        </is>
      </c>
      <c r="R9" s="5" t="inlineStr"/>
      <c r="S9" s="5" t="inlineStr">
        <is>
          <t>Aucune donnée sourcée trouvée dans cette passe</t>
        </is>
      </c>
    </row>
    <row r="10">
      <c r="A10" s="3" t="inlineStr">
        <is>
          <t>Arabie Saoudite</t>
        </is>
      </c>
      <c r="B10" s="3" t="inlineStr">
        <is>
          <t>Moyen-Orient</t>
        </is>
      </c>
      <c r="C10" s="7" t="inlineStr">
        <is>
          <t>A</t>
        </is>
      </c>
      <c r="D10" s="3" t="inlineStr">
        <is>
          <t>forte</t>
        </is>
      </c>
      <c r="E10" s="3" t="inlineStr">
        <is>
          <t>الكلاب السبعة (7 Dogs)</t>
        </is>
      </c>
      <c r="F10" s="3" t="inlineStr">
        <is>
          <t>7 كلاب</t>
        </is>
      </c>
      <c r="G10" s="3" t="inlineStr">
        <is>
          <t>2026</t>
        </is>
      </c>
      <c r="H10" s="3" t="inlineStr">
        <is>
          <t>ar</t>
        </is>
      </c>
      <c r="I10" s="3" t="inlineStr"/>
      <c r="J10" s="3" t="n">
        <v>123</v>
      </c>
      <c r="K10" s="5" t="inlineStr">
        <is>
          <t>entrées : 935 000+ (billets, rapport relayé sur Instagram)</t>
        </is>
      </c>
      <c r="L10" s="5" t="inlineStr"/>
      <c r="M10" s="6" t="inlineStr">
        <is>
          <t>https://www.instagram.com/p/DcOpfLdMe4R</t>
        </is>
      </c>
      <c r="N10" s="6" t="inlineStr">
        <is>
          <t>https://www.themoviedb.org/movie/1316427</t>
        </is>
      </c>
      <c r="O10" s="5" t="inlineStr">
        <is>
          <t>Sattar (2022) ~723 000 en mars 2023, jusqu'à ~1 M selon GCAM</t>
        </is>
      </c>
      <c r="P10" s="5" t="inlineStr">
        <is>
          <t>راس براس (2023, 71 votes)</t>
        </is>
      </c>
      <c r="Q10" s="5" t="inlineStr">
        <is>
          <t>Wadjda (2012)</t>
        </is>
      </c>
      <c r="R10" s="5" t="inlineStr"/>
      <c r="S10" s="5" t="inlineStr">
        <is>
          <t>AMBIGU : film saoudien (Sela Studios, financé par GEA) mais réal. belges et casting égyptien ; source principale indirecte (Instagram). Sattar (Abdullah Al Arak, koweïtien) reste candidat si la production est jugée trop étrangère.</t>
        </is>
      </c>
    </row>
    <row r="11">
      <c r="A11" s="3" t="inlineStr">
        <is>
          <t>Argentine</t>
        </is>
      </c>
      <c r="B11" s="3" t="inlineStr">
        <is>
          <t>Amériques</t>
        </is>
      </c>
      <c r="C11" s="7" t="inlineStr">
        <is>
          <t>A</t>
        </is>
      </c>
      <c r="D11" s="3" t="inlineStr">
        <is>
          <t>forte</t>
        </is>
      </c>
      <c r="E11" s="3" t="inlineStr">
        <is>
          <t>Relatos salvajes</t>
        </is>
      </c>
      <c r="F11" s="3" t="inlineStr">
        <is>
          <t>Les Nouveaux Sauvages</t>
        </is>
      </c>
      <c r="G11" s="3" t="inlineStr">
        <is>
          <t>2014</t>
        </is>
      </c>
      <c r="H11" s="3" t="inlineStr">
        <is>
          <t>es</t>
        </is>
      </c>
      <c r="I11" s="3" t="inlineStr"/>
      <c r="J11" s="3" t="n">
        <v>122</v>
      </c>
      <c r="K11" s="5" t="inlineStr">
        <is>
          <t>entrées : 3 900 000</t>
        </is>
      </c>
      <c r="L11" s="5" t="inlineStr">
        <is>
          <t>location : Apple TV Store, Orange VOD, YouTube, Rakuten TV ; achat : Apple TV Store, Orange VOD, YouTube, Rakuten TV</t>
        </is>
      </c>
      <c r="M11" s="6" t="inlineStr">
        <is>
          <t>https://es.wikipedia.org/wiki/Relatos_salvajes</t>
        </is>
      </c>
      <c r="N11" s="6" t="inlineStr">
        <is>
          <t>https://www.themoviedb.org/movie/265195</t>
        </is>
      </c>
      <c r="O11" s="5" t="inlineStr">
        <is>
          <t>non relevé</t>
        </is>
      </c>
      <c r="P11" s="5" t="inlineStr">
        <is>
          <t>Relatos salvajes (2014, 3919 votes)</t>
        </is>
      </c>
      <c r="Q11" s="5" t="inlineStr">
        <is>
          <t>The Secret in Their Eyes (2009)</t>
        </is>
      </c>
      <c r="R11" s="5" t="inlineStr"/>
      <c r="S11" s="5" t="inlineStr">
        <is>
          <t>Plus vue de l'histoire du cinéma argentin « depuis que des registres fiables existent (1997) » (source Ultracine). Coproduction avec l'Espagne, créatif principal argentin. Les films d'avant 1997 (ex. Nazareno Cruz y el lobo, 1975) sont mal documentés.</t>
        </is>
      </c>
    </row>
    <row r="12">
      <c r="A12" s="3" t="inlineStr">
        <is>
          <t>Arménie</t>
        </is>
      </c>
      <c r="B12" s="3" t="inlineStr">
        <is>
          <t>Asie</t>
        </is>
      </c>
      <c r="C12" s="9" t="inlineStr">
        <is>
          <t>C</t>
        </is>
      </c>
      <c r="D12" s="3" t="inlineStr">
        <is>
          <t>faible (choix éditorial, pas d'audience)</t>
        </is>
      </c>
      <c r="E12" s="3" t="inlineStr">
        <is>
          <t>Նռան գույնը</t>
        </is>
      </c>
      <c r="F12" s="3" t="inlineStr">
        <is>
          <t>Sayat Nova : La Couleur de la grenade</t>
        </is>
      </c>
      <c r="G12" s="3" t="inlineStr">
        <is>
          <t>1969</t>
        </is>
      </c>
      <c r="H12" s="3" t="inlineStr">
        <is>
          <t>hy</t>
        </is>
      </c>
      <c r="I12" s="3" t="inlineStr"/>
      <c r="J12" s="3" t="n">
        <v>79</v>
      </c>
      <c r="K12" s="5" t="inlineStr">
        <is>
          <t>choix « native » de Films Around the World</t>
        </is>
      </c>
      <c r="L12" s="5" t="inlineStr">
        <is>
          <t>abonnement : Molotov TV, SFR Play ; location : Sooner, Pijama Films ; achat : Sooner</t>
        </is>
      </c>
      <c r="M12" s="6" t="inlineStr">
        <is>
          <t>https://filmsaroundthe.world/country/armenia/films/the-color-of-pomegranates-fc14231a1f400d625/</t>
        </is>
      </c>
      <c r="N12" s="6" t="inlineStr">
        <is>
          <t>https://www.themoviedb.org/movie/26302</t>
        </is>
      </c>
      <c r="O12" s="5" t="inlineStr"/>
      <c r="P12" s="5" t="inlineStr">
        <is>
          <t>Սպիտակ (2018, 40 votes)</t>
        </is>
      </c>
      <c r="Q12" s="5" t="inlineStr">
        <is>
          <t>The Color of Pomegranates (1969)</t>
        </is>
      </c>
      <c r="R12" s="5" t="inlineStr"/>
      <c r="S12" s="5" t="inlineStr">
        <is>
          <t>Pas de donnée sourcée. / No all-time ranking found (Vazgen: The Last Sparapet 2025, 176,385 admissions; Full House: Landing 2026, AMD 503.5M in H1).</t>
        </is>
      </c>
    </row>
    <row r="13">
      <c r="A13" s="3" t="inlineStr">
        <is>
          <t>Australie</t>
        </is>
      </c>
      <c r="B13" s="3" t="inlineStr">
        <is>
          <t>Océanie</t>
        </is>
      </c>
      <c r="C13" s="7" t="inlineStr">
        <is>
          <t>A</t>
        </is>
      </c>
      <c r="D13" s="3" t="inlineStr">
        <is>
          <t>bonne</t>
        </is>
      </c>
      <c r="E13" s="3" t="inlineStr">
        <is>
          <t>Crocodile Dundee</t>
        </is>
      </c>
      <c r="F13" s="3" t="inlineStr">
        <is>
          <t>Crocodile Dundee</t>
        </is>
      </c>
      <c r="G13" s="3" t="inlineStr">
        <is>
          <t>1986</t>
        </is>
      </c>
      <c r="H13" s="3" t="inlineStr">
        <is>
          <t>en</t>
        </is>
      </c>
      <c r="I13" s="3" t="inlineStr"/>
      <c r="J13" s="3" t="n">
        <v>95</v>
      </c>
      <c r="K13" s="5" t="inlineStr">
        <is>
          <t>recettes nationales : A$47,707,598</t>
        </is>
      </c>
      <c r="L13" s="5" t="inlineStr"/>
      <c r="M13" s="6" t="inlineStr">
        <is>
          <t>https://www.screenaustralia.gov.au/insights-and-trends/australian-films/top-australian-films/</t>
        </is>
      </c>
      <c r="N13" s="6" t="inlineStr">
        <is>
          <t>https://www.themoviedb.org/movie/9671</t>
        </is>
      </c>
      <c r="O13" s="5" t="inlineStr">
        <is>
          <t>Australia (2008, A$37,555,757)</t>
        </is>
      </c>
      <c r="P13" s="5" t="inlineStr">
        <is>
          <t>Mad Max: Fury Road (2015, 24817 votes)</t>
        </is>
      </c>
      <c r="Q13" s="5" t="inlineStr">
        <is>
          <t>Picnic at Hanging Rock (1975)</t>
        </is>
      </c>
      <c r="R13" s="5" t="inlineStr"/>
      <c r="S13" s="5" t="inlineStr"/>
    </row>
    <row r="14">
      <c r="A14" s="3" t="inlineStr">
        <is>
          <t>Autriche</t>
        </is>
      </c>
      <c r="B14" s="3" t="inlineStr">
        <is>
          <t>Europe</t>
        </is>
      </c>
      <c r="C14" s="7" t="inlineStr">
        <is>
          <t>A</t>
        </is>
      </c>
      <c r="D14" s="3" t="inlineStr">
        <is>
          <t>forte</t>
        </is>
      </c>
      <c r="E14" s="3" t="inlineStr">
        <is>
          <t>Hinterholz 8</t>
        </is>
      </c>
      <c r="F14" s="3" t="inlineStr">
        <is>
          <t>Hinterholz 8</t>
        </is>
      </c>
      <c r="G14" s="3" t="inlineStr">
        <is>
          <t>1998</t>
        </is>
      </c>
      <c r="H14" s="3" t="inlineStr">
        <is>
          <t>de</t>
        </is>
      </c>
      <c r="I14" s="3" t="inlineStr"/>
      <c r="J14" s="3" t="n">
        <v>105</v>
      </c>
      <c r="K14" s="5" t="inlineStr">
        <is>
          <t>entrées : 617597</t>
        </is>
      </c>
      <c r="L14" s="5" t="inlineStr"/>
      <c r="M14" s="6" t="inlineStr">
        <is>
          <t>https://de.wikipedia.org/wiki/Hinterholz_8</t>
        </is>
      </c>
      <c r="N14" s="6" t="inlineStr">
        <is>
          <t>https://www.themoviedb.org/movie/38005</t>
        </is>
      </c>
      <c r="O14" s="5" t="inlineStr">
        <is>
          <t>Aufputzt is' (2025), 441823</t>
        </is>
      </c>
      <c r="P14" s="5" t="inlineStr">
        <is>
          <t>Funny Games (1997, 2209 votes)</t>
        </is>
      </c>
      <c r="Q14" s="5" t="inlineStr">
        <is>
          <t>The White Ribbon (2009)</t>
        </is>
      </c>
      <c r="R14" s="5" t="inlineStr"/>
      <c r="S14" s="5" t="inlineStr"/>
    </row>
    <row r="15">
      <c r="A15" s="3" t="inlineStr">
        <is>
          <t>Azerbaïdjan</t>
        </is>
      </c>
      <c r="B15" s="3" t="inlineStr">
        <is>
          <t>Asie</t>
        </is>
      </c>
      <c r="C15" s="7" t="inlineStr">
        <is>
          <t>A</t>
        </is>
      </c>
      <c r="D15" s="3" t="inlineStr">
        <is>
          <t>forte</t>
        </is>
      </c>
      <c r="E15" s="3" t="inlineStr">
        <is>
          <t>Tağıyev</t>
        </is>
      </c>
      <c r="F15" s="3" t="inlineStr">
        <is>
          <t>Tağıyev: Neft</t>
        </is>
      </c>
      <c r="G15" s="3" t="inlineStr">
        <is>
          <t>2024</t>
        </is>
      </c>
      <c r="H15" s="3" t="inlineStr">
        <is>
          <t>az</t>
        </is>
      </c>
      <c r="I15" s="3" t="inlineStr"/>
      <c r="J15" s="3" t="n">
        <v>104</v>
      </c>
      <c r="K15" s="5" t="inlineStr">
        <is>
          <t>entrées : &gt;200,000 viewers</t>
        </is>
      </c>
      <c r="L15" s="5" t="inlineStr"/>
      <c r="M15" s="6" t="inlineStr">
        <is>
          <t>https://www.azernews.az/culture/262003.html</t>
        </is>
      </c>
      <c r="N15" s="6" t="inlineStr">
        <is>
          <t>https://www.themoviedb.org/movie/1360595</t>
        </is>
      </c>
      <c r="O15" s="5" t="inlineStr">
        <is>
          <t>Thyme (≈150–180k tickets, per kinoyazar.az)</t>
        </is>
      </c>
      <c r="P15" s="5" t="inlineStr">
        <is>
          <t>Aporia (2019, 10 votes)</t>
        </is>
      </c>
      <c r="Q15" s="5" t="inlineStr">
        <is>
          <t>Step Mother (1958)</t>
        </is>
      </c>
      <c r="R15" s="5" t="inlineStr"/>
      <c r="S15" s="5" t="inlineStr">
        <is>
          <t>Ambiguous: tetralogy 2024–2026, figure covers the chapters combined. Also https://jnews.az/en/taghiyev-film-highest-grossing-azerbaijani-cinema-project/</t>
        </is>
      </c>
    </row>
    <row r="16">
      <c r="A16" s="3" t="inlineStr">
        <is>
          <t>Bahamas</t>
        </is>
      </c>
      <c r="B16" s="3" t="inlineStr">
        <is>
          <t>Amériques</t>
        </is>
      </c>
      <c r="C16" s="8" t="inlineStr">
        <is>
          <t>D</t>
        </is>
      </c>
      <c r="D16" s="3" t="inlineStr">
        <is>
          <t>très faible (moins de 50 votes)</t>
        </is>
      </c>
      <c r="E16" s="3" t="inlineStr">
        <is>
          <t>Children of God</t>
        </is>
      </c>
      <c r="F16" s="3" t="inlineStr">
        <is>
          <t>Children of God</t>
        </is>
      </c>
      <c r="G16" s="3" t="inlineStr">
        <is>
          <t>2011</t>
        </is>
      </c>
      <c r="H16" s="3" t="inlineStr">
        <is>
          <t>en</t>
        </is>
      </c>
      <c r="I16" s="3" t="inlineStr"/>
      <c r="J16" s="3" t="n">
        <v>104</v>
      </c>
      <c r="K16" s="5" t="inlineStr">
        <is>
          <t>popularité TMDB : 25 votes</t>
        </is>
      </c>
      <c r="L16" s="5" t="inlineStr"/>
      <c r="M16" s="6" t="inlineStr">
        <is>
          <t>https://www.themoviedb.org/movie/79926</t>
        </is>
      </c>
      <c r="N16" s="6" t="inlineStr">
        <is>
          <t>https://www.themoviedb.org/movie/79926</t>
        </is>
      </c>
      <c r="O16" s="5" t="inlineStr"/>
      <c r="P16" s="5" t="inlineStr">
        <is>
          <t>Children of God (2011, 25 votes)</t>
        </is>
      </c>
      <c r="Q16" s="5" t="inlineStr"/>
      <c r="R16" s="5" t="inlineStr"/>
      <c r="S16" s="5" t="inlineStr">
        <is>
          <t>Pas de box-office suivi. / Aucune donnée sourcée trouvée dans cette passe</t>
        </is>
      </c>
    </row>
    <row r="17">
      <c r="A17" s="3" t="inlineStr">
        <is>
          <t>Bahreïn</t>
        </is>
      </c>
      <c r="B17" s="3" t="inlineStr">
        <is>
          <t>Moyen-Orient</t>
        </is>
      </c>
      <c r="C17" s="9" t="inlineStr">
        <is>
          <t>C</t>
        </is>
      </c>
      <c r="D17" s="3" t="inlineStr">
        <is>
          <t>faible (choix éditorial, pas d'audience)</t>
        </is>
      </c>
      <c r="E17" s="3" t="inlineStr">
        <is>
          <t>الحاجز</t>
        </is>
      </c>
      <c r="F17" s="3" t="inlineStr">
        <is>
          <t>الحاجز</t>
        </is>
      </c>
      <c r="G17" s="3" t="inlineStr">
        <is>
          <t>1990</t>
        </is>
      </c>
      <c r="H17" s="3" t="inlineStr">
        <is>
          <t>ar</t>
        </is>
      </c>
      <c r="I17" s="3" t="inlineStr"/>
      <c r="J17" s="3" t="n">
        <v>97</v>
      </c>
      <c r="K17" s="5" t="inlineStr">
        <is>
          <t>choix « native » de Films Around the World</t>
        </is>
      </c>
      <c r="L17" s="5" t="inlineStr"/>
      <c r="M17" s="6" t="inlineStr">
        <is>
          <t>https://filmsaroundthe.world/country/bahrain/films/the-barrier-fb1b79d7b9ce09270/</t>
        </is>
      </c>
      <c r="N17" s="6" t="inlineStr">
        <is>
          <t>https://www.themoviedb.org/movie/275053</t>
        </is>
      </c>
      <c r="O17" s="5" t="inlineStr"/>
      <c r="P17" s="5" t="inlineStr">
        <is>
          <t>زائر (2004, 5 votes)</t>
        </is>
      </c>
      <c r="Q17" s="5" t="inlineStr">
        <is>
          <t>The Barrier (1990)</t>
        </is>
      </c>
      <c r="R17" s="5" t="inlineStr"/>
      <c r="S17" s="5" t="inlineStr">
        <is>
          <t>pas de box-office national suivi ou publié trouvé</t>
        </is>
      </c>
    </row>
    <row r="18">
      <c r="A18" s="3" t="inlineStr">
        <is>
          <t>Bangladesh</t>
        </is>
      </c>
      <c r="B18" s="3" t="inlineStr">
        <is>
          <t>Asie</t>
        </is>
      </c>
      <c r="C18" s="7" t="inlineStr">
        <is>
          <t>A</t>
        </is>
      </c>
      <c r="D18" s="3" t="inlineStr">
        <is>
          <t>bonne</t>
        </is>
      </c>
      <c r="E18" s="3" t="inlineStr">
        <is>
          <t>বর্বাদ</t>
        </is>
      </c>
      <c r="F18" s="3" t="inlineStr">
        <is>
          <t>বরবাদ</t>
        </is>
      </c>
      <c r="G18" s="3" t="inlineStr">
        <is>
          <t>2025</t>
        </is>
      </c>
      <c r="H18" s="3" t="inlineStr">
        <is>
          <t>bn</t>
        </is>
      </c>
      <c r="I18" s="3" t="inlineStr"/>
      <c r="J18" s="3" t="n">
        <v>139</v>
      </c>
      <c r="K18" s="5" t="inlineStr">
        <is>
          <t>recettes nationales : ৳75 crore (worldwide gross, not domestic)</t>
        </is>
      </c>
      <c r="L18" s="5" t="inlineStr"/>
      <c r="M18" s="6" t="inlineStr">
        <is>
          <t>https://en.wikipedia.org/wiki/List_of_highest-grossing_Bangladeshi_films</t>
        </is>
      </c>
      <c r="N18" s="6" t="inlineStr">
        <is>
          <t>https://www.themoviedb.org/movie/1374290</t>
        </is>
      </c>
      <c r="O18" s="5" t="inlineStr">
        <is>
          <t>Toofan (2024, ৳56 crore)</t>
        </is>
      </c>
      <c r="P18" s="5" t="inlineStr">
        <is>
          <t>মাসুদ রানা: ধ্বংস পাহাড় (2023, 191 votes)</t>
        </is>
      </c>
      <c r="Q18" s="5" t="inlineStr">
        <is>
          <t>Amra Ekta Cinema Banabo (2019)</t>
        </is>
      </c>
      <c r="R18" s="5" t="inlineStr"/>
      <c r="S18" s="5" t="inlineStr">
        <is>
          <t>Ambiguous: figure is worldwide, not domestic.</t>
        </is>
      </c>
    </row>
    <row r="19">
      <c r="A19" s="3" t="inlineStr">
        <is>
          <t>Barbade</t>
        </is>
      </c>
      <c r="B19" s="3" t="inlineStr">
        <is>
          <t>Amériques</t>
        </is>
      </c>
      <c r="C19" s="9" t="inlineStr">
        <is>
          <t>C</t>
        </is>
      </c>
      <c r="D19" s="3" t="inlineStr">
        <is>
          <t>faible (choix éditorial, pas d'audience)</t>
        </is>
      </c>
      <c r="E19" s="3" t="inlineStr">
        <is>
          <t>A Caribbean Dream</t>
        </is>
      </c>
      <c r="F19" s="3" t="inlineStr">
        <is>
          <t>A Caribbean Dream</t>
        </is>
      </c>
      <c r="G19" s="3" t="inlineStr">
        <is>
          <t>2017</t>
        </is>
      </c>
      <c r="H19" s="3" t="inlineStr">
        <is>
          <t>en</t>
        </is>
      </c>
      <c r="I19" s="3" t="inlineStr"/>
      <c r="J19" s="3" t="n">
        <v>82</v>
      </c>
      <c r="K19" s="5" t="inlineStr">
        <is>
          <t>choix « native » de Films Around the World</t>
        </is>
      </c>
      <c r="L19" s="5" t="inlineStr">
        <is>
          <t>location : Amazon Video ; achat : Amazon Video</t>
        </is>
      </c>
      <c r="M19" s="6" t="inlineStr">
        <is>
          <t>https://filmsaroundthe.world/country/barbados/films/a-caribbean-dream-fa5c28b5beea3790a/</t>
        </is>
      </c>
      <c r="N19" s="6" t="inlineStr">
        <is>
          <t>https://www.themoviedb.org/movie/412906</t>
        </is>
      </c>
      <c r="O19" s="5" t="inlineStr"/>
      <c r="P19" s="5" t="inlineStr">
        <is>
          <t>The Barbados Project (2022, 3 votes)</t>
        </is>
      </c>
      <c r="Q19" s="5" t="inlineStr">
        <is>
          <t>A Caribbean Dream (2017)</t>
        </is>
      </c>
      <c r="R19" s="5" t="inlineStr"/>
      <c r="S19" s="5" t="inlineStr">
        <is>
          <t>Pas de box-office suivi. / Aucune donnée sourcée trouvée dans cette passe</t>
        </is>
      </c>
    </row>
    <row r="20">
      <c r="A20" s="3" t="inlineStr">
        <is>
          <t>Belgique</t>
        </is>
      </c>
      <c r="B20" s="3" t="inlineStr">
        <is>
          <t>Europe</t>
        </is>
      </c>
      <c r="C20" s="7" t="inlineStr">
        <is>
          <t>A</t>
        </is>
      </c>
      <c r="D20" s="3" t="inlineStr">
        <is>
          <t>forte</t>
        </is>
      </c>
      <c r="E20" s="3" t="inlineStr">
        <is>
          <t>Loft</t>
        </is>
      </c>
      <c r="F20" s="3" t="inlineStr">
        <is>
          <t>Loft</t>
        </is>
      </c>
      <c r="G20" s="3" t="inlineStr">
        <is>
          <t>2008</t>
        </is>
      </c>
      <c r="H20" s="3" t="inlineStr">
        <is>
          <t>nl</t>
        </is>
      </c>
      <c r="I20" s="3" t="inlineStr"/>
      <c r="J20" s="3" t="n">
        <v>118</v>
      </c>
      <c r="K20" s="5" t="inlineStr">
        <is>
          <t>entrées : plus de 1150000</t>
        </is>
      </c>
      <c r="L20" s="5" t="inlineStr">
        <is>
          <t>abonnement : Molotov TV ; location : Orange VOD, YouTube ; achat : Orange VOD, YouTube</t>
        </is>
      </c>
      <c r="M20" s="6" t="inlineStr">
        <is>
          <t>https://cineuropa.org</t>
        </is>
      </c>
      <c r="N20" s="6" t="inlineStr">
        <is>
          <t>https://www.themoviedb.org/movie/17845</t>
        </is>
      </c>
      <c r="O20" s="5" t="inlineStr"/>
      <c r="P20" s="5" t="inlineStr">
        <is>
          <t>Jeux d'enfants (2003, 1923 votes)</t>
        </is>
      </c>
      <c r="Q20" s="5" t="inlineStr">
        <is>
          <t>Close (2022)</t>
        </is>
      </c>
      <c r="R20" s="5" t="inlineStr"/>
      <c r="S20" s="5" t="inlineStr">
        <is>
          <t>Film flamand. Source Cineuropa, URL d'article à préciser.</t>
        </is>
      </c>
    </row>
    <row r="21">
      <c r="A21" s="3" t="inlineStr">
        <is>
          <t>Belize</t>
        </is>
      </c>
      <c r="B21" s="3" t="inlineStr">
        <is>
          <t>Amériques</t>
        </is>
      </c>
      <c r="C21" s="8" t="inlineStr">
        <is>
          <t>D</t>
        </is>
      </c>
      <c r="D21" s="3" t="inlineStr">
        <is>
          <t>très faible (moins de 50 votes)</t>
        </is>
      </c>
      <c r="E21" s="3" t="inlineStr">
        <is>
          <t>Let Us Make Eve</t>
        </is>
      </c>
      <c r="F21" s="3" t="inlineStr">
        <is>
          <t>Let Us Make Eve</t>
        </is>
      </c>
      <c r="G21" s="3" t="inlineStr">
        <is>
          <t>2023</t>
        </is>
      </c>
      <c r="H21" s="3" t="inlineStr">
        <is>
          <t>en</t>
        </is>
      </c>
      <c r="I21" s="3" t="inlineStr"/>
      <c r="J21" s="3" t="n">
        <v>90</v>
      </c>
      <c r="K21" s="5" t="inlineStr">
        <is>
          <t>popularité TMDB : 4 votes</t>
        </is>
      </c>
      <c r="L21" s="5" t="inlineStr"/>
      <c r="M21" s="6" t="inlineStr">
        <is>
          <t>https://www.themoviedb.org/movie/1071807</t>
        </is>
      </c>
      <c r="N21" s="6" t="inlineStr">
        <is>
          <t>https://www.themoviedb.org/movie/1071807</t>
        </is>
      </c>
      <c r="O21" s="5" t="inlineStr"/>
      <c r="P21" s="5" t="inlineStr">
        <is>
          <t>Let Us Make Eve (2023, 4 votes)</t>
        </is>
      </c>
      <c r="Q21" s="5" t="inlineStr"/>
      <c r="R21" s="5" t="inlineStr"/>
      <c r="S21" s="5" t="inlineStr">
        <is>
          <t>Pas de box-office suivi. / Aucune donnée sourcée trouvée dans cette passe</t>
        </is>
      </c>
    </row>
    <row r="22">
      <c r="A22" s="3" t="inlineStr">
        <is>
          <t>Bénin</t>
        </is>
      </c>
      <c r="B22" s="3" t="inlineStr">
        <is>
          <t>Afrique</t>
        </is>
      </c>
      <c r="C22" s="9" t="inlineStr">
        <is>
          <t>C</t>
        </is>
      </c>
      <c r="D22" s="3" t="inlineStr">
        <is>
          <t>faible (choix éditorial, pas d'audience)</t>
        </is>
      </c>
      <c r="E22" s="3" t="inlineStr">
        <is>
          <t>Sous le signe du vaudou</t>
        </is>
      </c>
      <c r="F22" s="3" t="inlineStr">
        <is>
          <t>Sous le signe du vaudou</t>
        </is>
      </c>
      <c r="G22" s="3" t="inlineStr">
        <is>
          <t>1974</t>
        </is>
      </c>
      <c r="H22" s="3" t="inlineStr">
        <is>
          <t>fr</t>
        </is>
      </c>
      <c r="I22" s="3" t="inlineStr"/>
      <c r="J22" s="3" t="n">
        <v>95</v>
      </c>
      <c r="K22" s="5" t="inlineStr">
        <is>
          <t>choix « native » de Films Around the World</t>
        </is>
      </c>
      <c r="L22" s="5" t="inlineStr"/>
      <c r="M22" s="6" t="inlineStr">
        <is>
          <t>https://filmsaroundthe.world/country/benin/films/sous-le-signe-du-vaudou-f78f203ff591a6305/</t>
        </is>
      </c>
      <c r="N22" s="6" t="inlineStr">
        <is>
          <t>https://www.themoviedb.org/movie/471171</t>
        </is>
      </c>
      <c r="O22" s="5" t="inlineStr"/>
      <c r="P22" s="5" t="inlineStr">
        <is>
          <t>Africa paradis (2007, 12 votes)</t>
        </is>
      </c>
      <c r="Q22" s="5" t="inlineStr">
        <is>
          <t>Sous le signe du vaudou (1974)</t>
        </is>
      </c>
      <c r="R22" s="5" t="inlineStr"/>
      <c r="S22" s="5" t="inlineStr">
        <is>
          <t>pas de box-office national suivi ou publié trouvé</t>
        </is>
      </c>
    </row>
    <row r="23">
      <c r="A23" s="3" t="inlineStr">
        <is>
          <t>Bhoutan</t>
        </is>
      </c>
      <c r="B23" s="3" t="inlineStr">
        <is>
          <t>Asie</t>
        </is>
      </c>
      <c r="C23" s="4" t="inlineStr">
        <is>
          <t>B</t>
        </is>
      </c>
      <c r="D23" s="3" t="inlineStr">
        <is>
          <t>moyenne</t>
        </is>
      </c>
      <c r="E23" s="3" t="inlineStr">
        <is>
          <t>ལུང་ནག་ན</t>
        </is>
      </c>
      <c r="F23" s="3" t="inlineStr">
        <is>
          <t>L'École du bout du monde</t>
        </is>
      </c>
      <c r="G23" s="3" t="inlineStr">
        <is>
          <t>2019</t>
        </is>
      </c>
      <c r="H23" s="3" t="inlineStr">
        <is>
          <t>dz</t>
        </is>
      </c>
      <c r="I23" s="3" t="inlineStr"/>
      <c r="J23" s="3" t="n">
        <v>109</v>
      </c>
      <c r="K23" s="5" t="inlineStr">
        <is>
          <t>popularité TMDB : 238 votes</t>
        </is>
      </c>
      <c r="L23" s="5" t="inlineStr">
        <is>
          <t>location : Apple TV Store, Orange VOD, Canal VOD, Sooner ; achat : Apple TV Store, Orange VOD, Canal VOD, Sooner</t>
        </is>
      </c>
      <c r="M23" s="6" t="inlineStr">
        <is>
          <t>https://www.themoviedb.org/movie/627087</t>
        </is>
      </c>
      <c r="N23" s="6" t="inlineStr">
        <is>
          <t>https://www.themoviedb.org/movie/627087</t>
        </is>
      </c>
      <c r="O23" s="5" t="inlineStr"/>
      <c r="P23" s="5" t="inlineStr">
        <is>
          <t>ལུང་ནག་ན (2019, 238 votes)</t>
        </is>
      </c>
      <c r="Q23" s="5" t="inlineStr">
        <is>
          <t>Lunana: A Yak in the Classroom (2019)</t>
        </is>
      </c>
      <c r="R23" s="5" t="inlineStr"/>
      <c r="S23" s="5" t="inlineStr">
        <is>
          <t>Pas de classement. Tsawasum (2023) a battu le record d'ouverture local avec Nu. 1,5 M en deux séances (WordsForYou) ; The Raven Squad serait « le film bhoutanais le plus rentable » (post Facebook, non fiable). Lunana (2019) : ~2 M$ à l'international seulement. / No sourced box office data.</t>
        </is>
      </c>
    </row>
    <row r="24">
      <c r="A24" s="3" t="inlineStr">
        <is>
          <t>Biélorussie</t>
        </is>
      </c>
      <c r="B24" s="3" t="inlineStr">
        <is>
          <t>Europe</t>
        </is>
      </c>
      <c r="C24" s="4" t="inlineStr">
        <is>
          <t>B</t>
        </is>
      </c>
      <c r="D24" s="3" t="inlineStr">
        <is>
          <t>moyenne</t>
        </is>
      </c>
      <c r="E24" s="3" t="inlineStr">
        <is>
          <t>Брестская крепость</t>
        </is>
      </c>
      <c r="F24" s="3" t="inlineStr">
        <is>
          <t>Battle for Honor : La Bataille de Brest-Litovsk</t>
        </is>
      </c>
      <c r="G24" s="3" t="inlineStr">
        <is>
          <t>2010</t>
        </is>
      </c>
      <c r="H24" s="3" t="inlineStr">
        <is>
          <t>ru</t>
        </is>
      </c>
      <c r="I24" s="3" t="inlineStr"/>
      <c r="J24" s="3" t="n">
        <v>138</v>
      </c>
      <c r="K24" s="5" t="inlineStr">
        <is>
          <t>popularité TMDB : 206 votes</t>
        </is>
      </c>
      <c r="L24" s="5" t="inlineStr"/>
      <c r="M24" s="6" t="inlineStr">
        <is>
          <t>https://www.themoviedb.org/movie/50618</t>
        </is>
      </c>
      <c r="N24" s="6" t="inlineStr">
        <is>
          <t>https://www.themoviedb.org/movie/50618</t>
        </is>
      </c>
      <c r="O24" s="5" t="inlineStr"/>
      <c r="P24" s="5" t="inlineStr">
        <is>
          <t>Брестская крепость (2010, 206 votes)</t>
        </is>
      </c>
      <c r="Q24" s="5" t="inlineStr">
        <is>
          <t>Come and See (1985)</t>
        </is>
      </c>
      <c r="R24" s="5" t="inlineStr"/>
      <c r="S24" s="5" t="inlineStr">
        <is>
          <t>Pas de donnée sourcée. / Pas de donnée sourcée.</t>
        </is>
      </c>
    </row>
    <row r="25">
      <c r="A25" s="3" t="inlineStr">
        <is>
          <t>Birmanie</t>
        </is>
      </c>
      <c r="B25" s="3" t="inlineStr">
        <is>
          <t>Asie</t>
        </is>
      </c>
      <c r="C25" s="8" t="inlineStr">
        <is>
          <t>D</t>
        </is>
      </c>
      <c r="D25" s="3" t="inlineStr">
        <is>
          <t>très faible (moins de 50 votes)</t>
        </is>
      </c>
      <c r="E25" s="3" t="inlineStr">
        <is>
          <t>လိပ်ပြာစံအိမ်</t>
        </is>
      </c>
      <c r="F25" s="3" t="inlineStr">
        <is>
          <t>လိပ်ပြာစံအိမ်</t>
        </is>
      </c>
      <c r="G25" s="3" t="inlineStr">
        <is>
          <t>2019</t>
        </is>
      </c>
      <c r="H25" s="3" t="inlineStr">
        <is>
          <t>my</t>
        </is>
      </c>
      <c r="I25" s="3" t="inlineStr"/>
      <c r="J25" s="3" t="n">
        <v>115</v>
      </c>
      <c r="K25" s="5" t="inlineStr">
        <is>
          <t>popularité TMDB : 7 votes</t>
        </is>
      </c>
      <c r="L25" s="5" t="inlineStr"/>
      <c r="M25" s="6" t="inlineStr">
        <is>
          <t>https://www.themoviedb.org/movie/594417</t>
        </is>
      </c>
      <c r="N25" s="6" t="inlineStr">
        <is>
          <t>https://www.themoviedb.org/movie/594417</t>
        </is>
      </c>
      <c r="O25" s="5" t="inlineStr"/>
      <c r="P25" s="5" t="inlineStr">
        <is>
          <t>လိပ်ပြာစံအိမ် (2019, 7 votes)</t>
        </is>
      </c>
      <c r="Q25" s="5" t="inlineStr">
        <is>
          <t>Mudras Calling (2018)</t>
        </is>
      </c>
      <c r="R25" s="5" t="inlineStr"/>
      <c r="S25" s="5" t="inlineStr">
        <is>
          <t>Pas de classement historique. The Only Mom (2019, horreur) : « highest-grossing Burmese film of the year » 2019, 100 M MMK en 9 jours, 4,8 M$ worldwide (non domestique). Réalisateur thaïlandais selon Myanmar Times (Wikipedia Cinema of Myanmar), donc film national discutable. Pas de statut de record absolu. / No reliable all-time ranking found.</t>
        </is>
      </c>
    </row>
    <row r="26">
      <c r="A26" s="3" t="inlineStr">
        <is>
          <t>Bolivie</t>
        </is>
      </c>
      <c r="B26" s="3" t="inlineStr">
        <is>
          <t>Amériques</t>
        </is>
      </c>
      <c r="C26" s="4" t="inlineStr">
        <is>
          <t>B</t>
        </is>
      </c>
      <c r="D26" s="3" t="inlineStr">
        <is>
          <t>moyenne</t>
        </is>
      </c>
      <c r="E26" s="3" t="inlineStr">
        <is>
          <t>Mi socio</t>
        </is>
      </c>
      <c r="F26" s="3" t="inlineStr">
        <is>
          <t>Mi socio</t>
        </is>
      </c>
      <c r="G26" s="3" t="inlineStr">
        <is>
          <t>1982</t>
        </is>
      </c>
      <c r="H26" s="3" t="inlineStr">
        <is>
          <t>es</t>
        </is>
      </c>
      <c r="I26" s="3" t="inlineStr"/>
      <c r="J26" s="3" t="n">
        <v>83</v>
      </c>
      <c r="K26" s="5" t="inlineStr">
        <is>
          <t>popularité TMDB : 72 votes</t>
        </is>
      </c>
      <c r="L26" s="5" t="inlineStr"/>
      <c r="M26" s="6" t="inlineStr">
        <is>
          <t>https://www.themoviedb.org/movie/455502</t>
        </is>
      </c>
      <c r="N26" s="6" t="inlineStr">
        <is>
          <t>https://www.themoviedb.org/movie/455502</t>
        </is>
      </c>
      <c r="O26" s="5" t="inlineStr"/>
      <c r="P26" s="5" t="inlineStr">
        <is>
          <t>Mi socio (1982, 72 votes)</t>
        </is>
      </c>
      <c r="Q26" s="5" t="inlineStr">
        <is>
          <t>El Cementerio de los Elefantes (2009)</t>
        </is>
      </c>
      <c r="R26" s="5" t="inlineStr"/>
      <c r="S26" s="5" t="inlineStr">
        <is>
          <t>Seulement des recettes mondiales en USD (Utama 2022 $291 953 ; El Pocholo y su marida $179 294). Pas d'entrées nationales fiables. Ambigu. / Aucune donnée sourcée trouvée dans cette passe</t>
        </is>
      </c>
    </row>
    <row r="27">
      <c r="A27" s="3" t="inlineStr">
        <is>
          <t>Bosnie-Herzégovine</t>
        </is>
      </c>
      <c r="B27" s="3" t="inlineStr">
        <is>
          <t>Europe</t>
        </is>
      </c>
      <c r="C27" s="4" t="inlineStr">
        <is>
          <t>B</t>
        </is>
      </c>
      <c r="D27" s="3" t="inlineStr">
        <is>
          <t>moyenne</t>
        </is>
      </c>
      <c r="E27" s="3" t="inlineStr">
        <is>
          <t>Grbavica</t>
        </is>
      </c>
      <c r="F27" s="3" t="inlineStr">
        <is>
          <t>Sarajevo, mon amour</t>
        </is>
      </c>
      <c r="G27" s="3" t="inlineStr">
        <is>
          <t>2006</t>
        </is>
      </c>
      <c r="H27" s="3" t="inlineStr">
        <is>
          <t>bs</t>
        </is>
      </c>
      <c r="I27" s="3" t="inlineStr"/>
      <c r="J27" s="3" t="n">
        <v>90</v>
      </c>
      <c r="K27" s="5" t="inlineStr">
        <is>
          <t>popularité TMDB : 96 votes</t>
        </is>
      </c>
      <c r="L27" s="5" t="inlineStr"/>
      <c r="M27" s="6" t="inlineStr">
        <is>
          <t>https://www.themoviedb.org/movie/317</t>
        </is>
      </c>
      <c r="N27" s="6" t="inlineStr">
        <is>
          <t>https://www.themoviedb.org/movie/317</t>
        </is>
      </c>
      <c r="O27" s="5" t="inlineStr"/>
      <c r="P27" s="5" t="inlineStr">
        <is>
          <t>Grbavica (2006, 96 votes)</t>
        </is>
      </c>
      <c r="Q27" s="5" t="inlineStr">
        <is>
          <t>No Man's Land (2001)</t>
        </is>
      </c>
      <c r="R27" s="5" t="inlineStr"/>
      <c r="S27" s="5" t="inlineStr">
        <is>
          <t>Pas de liste trouvée. Le plus gros succès local 2018 est un documentaire (Scream for Me Sarajevo), exclu. / Pas de liste trouvée.</t>
        </is>
      </c>
    </row>
    <row r="28">
      <c r="A28" s="3" t="inlineStr">
        <is>
          <t>Botswana</t>
        </is>
      </c>
      <c r="B28" s="3" t="inlineStr">
        <is>
          <t>Afrique</t>
        </is>
      </c>
      <c r="C28" s="9" t="inlineStr">
        <is>
          <t>C</t>
        </is>
      </c>
      <c r="D28" s="3" t="inlineStr">
        <is>
          <t>faible (choix éditorial, pas d'audience)</t>
        </is>
      </c>
      <c r="E28" s="3" t="inlineStr">
        <is>
          <t>Ngaka</t>
        </is>
      </c>
      <c r="F28" s="3" t="inlineStr">
        <is>
          <t>Ngaka</t>
        </is>
      </c>
      <c r="G28" s="3" t="inlineStr">
        <is>
          <t>1976</t>
        </is>
      </c>
      <c r="H28" s="3" t="inlineStr">
        <is>
          <t>zu</t>
        </is>
      </c>
      <c r="I28" s="3" t="inlineStr"/>
      <c r="J28" s="3" t="n">
        <v>84</v>
      </c>
      <c r="K28" s="5" t="inlineStr">
        <is>
          <t>choix « native » de Films Around the World</t>
        </is>
      </c>
      <c r="L28" s="5" t="inlineStr"/>
      <c r="M28" s="6" t="inlineStr">
        <is>
          <t>https://filmsaroundthe.world/country/botswana/films/ngaka-fcea1e639040f8bb5/</t>
        </is>
      </c>
      <c r="N28" s="6" t="inlineStr">
        <is>
          <t>https://www.themoviedb.org/movie/1186418</t>
        </is>
      </c>
      <c r="O28" s="5" t="inlineStr"/>
      <c r="P28" s="5" t="inlineStr">
        <is>
          <t>Jewel in the Sand (2020, 1 votes)</t>
        </is>
      </c>
      <c r="Q28" s="5" t="inlineStr">
        <is>
          <t>Ngaka (1976)</t>
        </is>
      </c>
      <c r="R28" s="5" t="inlineStr"/>
      <c r="S28" s="5" t="inlineStr">
        <is>
          <t>pas de box-office national suivi ou publié trouvé</t>
        </is>
      </c>
    </row>
    <row r="29">
      <c r="A29" s="3" t="inlineStr">
        <is>
          <t>Brésil</t>
        </is>
      </c>
      <c r="B29" s="3" t="inlineStr">
        <is>
          <t>Amériques</t>
        </is>
      </c>
      <c r="C29" s="7" t="inlineStr">
        <is>
          <t>A</t>
        </is>
      </c>
      <c r="D29" s="3" t="inlineStr">
        <is>
          <t>forte</t>
        </is>
      </c>
      <c r="E29" s="3" t="inlineStr">
        <is>
          <t>Tropa de Elite 2: O Inimigo Agora É Outro</t>
        </is>
      </c>
      <c r="F29" s="3" t="inlineStr">
        <is>
          <t>Troupe d'Élite - L'Ennemi intérieur</t>
        </is>
      </c>
      <c r="G29" s="3" t="inlineStr">
        <is>
          <t>2010</t>
        </is>
      </c>
      <c r="H29" s="3" t="inlineStr">
        <is>
          <t>pt</t>
        </is>
      </c>
      <c r="I29" s="3" t="inlineStr"/>
      <c r="J29" s="3" t="n">
        <v>115</v>
      </c>
      <c r="K29" s="5" t="inlineStr">
        <is>
          <t>entrées : 11 146 723</t>
        </is>
      </c>
      <c r="L29" s="5" t="inlineStr">
        <is>
          <t>location : Apple TV Store, Canal VOD, Sooner, Amazon Video ; achat : Apple TV Store, YouTube, Canal VOD, Sooner</t>
        </is>
      </c>
      <c r="M29" s="6" t="inlineStr">
        <is>
          <t>https://pt.wikipedia.org/wiki/Lista_de_filmes_brasileiros_com_mais_de_um_milh%C3%A3o_de_espectadores</t>
        </is>
      </c>
      <c r="N29" s="6" t="inlineStr">
        <is>
          <t>https://www.themoviedb.org/movie/47931</t>
        </is>
      </c>
      <c r="O29" s="5" t="inlineStr">
        <is>
          <t>Minha Mãe É uma Peça 3 (2019), 10 979 552</t>
        </is>
      </c>
      <c r="P29" s="5" t="inlineStr">
        <is>
          <t>Cidade de Deus (2002, 8551 votes)</t>
        </is>
      </c>
      <c r="Q29" s="5" t="inlineStr">
        <is>
          <t>City of God (2002)</t>
        </is>
      </c>
      <c r="R29" s="5" t="inlineStr"/>
      <c r="S29" s="5" t="inlineStr">
        <is>
          <t>Arbitrage : Nada a Perder (12,2 M) et Os Dez Mandamentos (11,3 M) sont devant, mais leurs entrées sont gonflées par des billets achetés en bloc par l'Église universelle. Écartés. AMBIGU. La liste place Nada a Perder (2018, 12 184 373) et Os Dez Mandamentos (2016, 11 305 479) devant, avec une note de l'article : leurs chiffres sont gonflés par des achats de billets en bloc (Igreja Universal) et des salles vides signalées par la presse. Tropa de Elite 2 est le premier succès de public non contesté. À arbitrer.</t>
        </is>
      </c>
    </row>
    <row r="30">
      <c r="A30" s="3" t="inlineStr">
        <is>
          <t>Brunei</t>
        </is>
      </c>
      <c r="B30" s="3" t="inlineStr">
        <is>
          <t>Asie</t>
        </is>
      </c>
      <c r="C30" s="9" t="inlineStr">
        <is>
          <t>C</t>
        </is>
      </c>
      <c r="D30" s="3" t="inlineStr">
        <is>
          <t>faible (choix éditorial, pas d'audience)</t>
        </is>
      </c>
      <c r="E30" s="3" t="inlineStr">
        <is>
          <t>Yasmine</t>
        </is>
      </c>
      <c r="F30" s="3" t="inlineStr">
        <is>
          <t>Yasmine</t>
        </is>
      </c>
      <c r="G30" s="3" t="inlineStr">
        <is>
          <t>2014</t>
        </is>
      </c>
      <c r="H30" s="3" t="inlineStr">
        <is>
          <t>ms</t>
        </is>
      </c>
      <c r="I30" s="3" t="inlineStr"/>
      <c r="J30" s="3" t="n">
        <v>109</v>
      </c>
      <c r="K30" s="5" t="inlineStr">
        <is>
          <t>choix « native » de Films Around the World</t>
        </is>
      </c>
      <c r="L30" s="5" t="inlineStr"/>
      <c r="M30" s="6" t="inlineStr">
        <is>
          <t>https://filmsaroundthe.world/country/brunei/films/yasmine-f17b4d68cefb3bb3d/</t>
        </is>
      </c>
      <c r="N30" s="6" t="inlineStr">
        <is>
          <t>https://www.themoviedb.org/movie/277690</t>
        </is>
      </c>
      <c r="O30" s="5" t="inlineStr"/>
      <c r="P30" s="5" t="inlineStr">
        <is>
          <t>Yasmine (2014, 8 votes)</t>
        </is>
      </c>
      <c r="Q30" s="5" t="inlineStr">
        <is>
          <t>Yasmine (2014)</t>
        </is>
      </c>
      <c r="R30" s="5" t="inlineStr"/>
      <c r="S30" s="5" t="inlineStr">
        <is>
          <t>No sourced box office data.</t>
        </is>
      </c>
    </row>
    <row r="31">
      <c r="A31" s="3" t="inlineStr">
        <is>
          <t>Bulgarie</t>
        </is>
      </c>
      <c r="B31" s="3" t="inlineStr">
        <is>
          <t>Europe</t>
        </is>
      </c>
      <c r="C31" s="7" t="inlineStr">
        <is>
          <t>A</t>
        </is>
      </c>
      <c r="D31" s="3" t="inlineStr">
        <is>
          <t>forte</t>
        </is>
      </c>
      <c r="E31" s="3" t="inlineStr">
        <is>
          <t>Гунди – легенда за любовта</t>
        </is>
      </c>
      <c r="F31" s="3" t="inlineStr">
        <is>
          <t>Гунди - Легенда за любовта</t>
        </is>
      </c>
      <c r="G31" s="3" t="inlineStr">
        <is>
          <t>2024</t>
        </is>
      </c>
      <c r="H31" s="3" t="inlineStr">
        <is>
          <t>bg</t>
        </is>
      </c>
      <c r="I31" s="3" t="inlineStr"/>
      <c r="J31" s="3" t="n">
        <v>159</v>
      </c>
      <c r="K31" s="5" t="inlineStr">
        <is>
          <t>entrées : 397225</t>
        </is>
      </c>
      <c r="L31" s="5" t="inlineStr"/>
      <c r="M31" s="6" t="inlineStr">
        <is>
          <t>https://www.segabg.com</t>
        </is>
      </c>
      <c r="N31" s="6" t="inlineStr">
        <is>
          <t>https://www.themoviedb.org/movie/1300045</t>
        </is>
      </c>
      <c r="O31" s="5" t="inlineStr"/>
      <c r="P31" s="5" t="inlineStr">
        <is>
          <t>Slava (2017, 68 votes)</t>
        </is>
      </c>
      <c r="Q31" s="5" t="inlineStr">
        <is>
          <t>Canary Season (1993)</t>
        </is>
      </c>
      <c r="R31" s="5" t="inlineStr"/>
      <c r="S31" s="5" t="inlineStr">
        <is>
          <t>Après 1989 seulement. Des films d'avant 1989 ont pu faire plus.</t>
        </is>
      </c>
    </row>
    <row r="32">
      <c r="A32" s="3" t="inlineStr">
        <is>
          <t>Burkina Faso</t>
        </is>
      </c>
      <c r="B32" s="3" t="inlineStr">
        <is>
          <t>Afrique</t>
        </is>
      </c>
      <c r="C32" s="9" t="inlineStr">
        <is>
          <t>C</t>
        </is>
      </c>
      <c r="D32" s="3" t="inlineStr">
        <is>
          <t>faible (choix éditorial, pas d'audience)</t>
        </is>
      </c>
      <c r="E32" s="3" t="inlineStr">
        <is>
          <t>Wênd Kûuni</t>
        </is>
      </c>
      <c r="F32" s="3" t="inlineStr">
        <is>
          <t>Wend Kuuni, le don de Dieu</t>
        </is>
      </c>
      <c r="G32" s="3" t="inlineStr">
        <is>
          <t>1982</t>
        </is>
      </c>
      <c r="H32" s="3" t="inlineStr">
        <is>
          <t>ff</t>
        </is>
      </c>
      <c r="I32" s="3" t="inlineStr"/>
      <c r="J32" s="3" t="n">
        <v>75</v>
      </c>
      <c r="K32" s="5" t="inlineStr">
        <is>
          <t>choix « native » de Films Around the World</t>
        </is>
      </c>
      <c r="L32" s="5" t="inlineStr"/>
      <c r="M32" s="6" t="inlineStr">
        <is>
          <t>https://filmsaroundthe.world/country/burkina-faso/films/wend-kuuni-f7b306511670049bb/</t>
        </is>
      </c>
      <c r="N32" s="6" t="inlineStr">
        <is>
          <t>https://www.themoviedb.org/movie/181083</t>
        </is>
      </c>
      <c r="O32" s="5" t="inlineStr"/>
      <c r="P32" s="5" t="inlineStr">
        <is>
          <t>Sira (2023, 12 votes)</t>
        </is>
      </c>
      <c r="Q32" s="5" t="inlineStr">
        <is>
          <t>Wend Kuuni (1982)</t>
        </is>
      </c>
      <c r="R32" s="5" t="inlineStr"/>
      <c r="S32" s="5" t="inlineStr">
        <is>
          <t>Pas de box-office suivi. Boubakar Diallo cite 40 000 entrées pour l'un de ses films (titre non confirmé). Aucun record documenté. / pas de box-office national suivi ou publié trouvé</t>
        </is>
      </c>
    </row>
    <row r="33">
      <c r="A33" s="3" t="inlineStr">
        <is>
          <t>Burundi</t>
        </is>
      </c>
      <c r="B33" s="3" t="inlineStr">
        <is>
          <t>Afrique</t>
        </is>
      </c>
      <c r="C33" s="9" t="inlineStr">
        <is>
          <t>C</t>
        </is>
      </c>
      <c r="D33" s="3" t="inlineStr">
        <is>
          <t>faible (choix éditorial, pas d'audience)</t>
        </is>
      </c>
      <c r="E33" s="3" t="inlineStr">
        <is>
          <t>Gito, l'ingrat</t>
        </is>
      </c>
      <c r="F33" s="3" t="inlineStr">
        <is>
          <t>Gito, l'ingrat</t>
        </is>
      </c>
      <c r="G33" s="3" t="inlineStr">
        <is>
          <t>1992</t>
        </is>
      </c>
      <c r="H33" s="3" t="inlineStr">
        <is>
          <t>fr</t>
        </is>
      </c>
      <c r="I33" s="3" t="inlineStr"/>
      <c r="J33" s="3" t="n">
        <v>93</v>
      </c>
      <c r="K33" s="5" t="inlineStr">
        <is>
          <t>choix « native » de Films Around the World</t>
        </is>
      </c>
      <c r="L33" s="5" t="inlineStr"/>
      <c r="M33" s="6" t="inlineStr">
        <is>
          <t>https://filmsaroundthe.world/country/burundi/films/gito-l-ingrat-f51b7b6751e068d3e/</t>
        </is>
      </c>
      <c r="N33" s="6" t="inlineStr">
        <is>
          <t>https://www.themoviedb.org/movie/272032</t>
        </is>
      </c>
      <c r="O33" s="5" t="inlineStr"/>
      <c r="P33" s="5" t="inlineStr">
        <is>
          <t>Gito, l'ingrat (1992, 6 votes)</t>
        </is>
      </c>
      <c r="Q33" s="5" t="inlineStr">
        <is>
          <t>Gito l'ingrat (1992)</t>
        </is>
      </c>
      <c r="R33" s="5" t="inlineStr"/>
      <c r="S33" s="5" t="inlineStr">
        <is>
          <t>pas de box-office national suivi ou publié trouvé</t>
        </is>
      </c>
    </row>
    <row r="34">
      <c r="A34" s="3" t="inlineStr">
        <is>
          <t>Cambodge</t>
        </is>
      </c>
      <c r="B34" s="3" t="inlineStr">
        <is>
          <t>Asie</t>
        </is>
      </c>
      <c r="C34" s="7" t="inlineStr">
        <is>
          <t>A</t>
        </is>
      </c>
      <c r="D34" s="3" t="inlineStr">
        <is>
          <t>bonne</t>
        </is>
      </c>
      <c r="E34" s="3" t="inlineStr">
        <is>
          <t>បណ្ដាសានាងរាត្រី</t>
        </is>
      </c>
      <c r="F34" s="3" t="inlineStr">
        <is>
          <t>បណ្ដាសានាងរាត្រី</t>
        </is>
      </c>
      <c r="G34" s="3" t="inlineStr">
        <is>
          <t>2024</t>
        </is>
      </c>
      <c r="H34" s="3" t="inlineStr">
        <is>
          <t>km</t>
        </is>
      </c>
      <c r="I34" s="3" t="inlineStr"/>
      <c r="J34" s="3" t="n">
        <v>95</v>
      </c>
      <c r="K34" s="5" t="inlineStr">
        <is>
          <t>recettes nationales : $8.6M (Khmer Wikipedia); English Wikipedia says $2M</t>
        </is>
      </c>
      <c r="L34" s="5" t="inlineStr"/>
      <c r="M34" s="6" t="inlineStr">
        <is>
          <t>https://km.wikipedia.org/wiki/Cambodia_Box_Office</t>
        </is>
      </c>
      <c r="N34" s="6" t="inlineStr">
        <is>
          <t>https://www.themoviedb.org/movie/1246014</t>
        </is>
      </c>
      <c r="O34" s="5" t="inlineStr">
        <is>
          <t>A Gong (2024, $5.1M)</t>
        </is>
      </c>
      <c r="P34" s="5" t="inlineStr">
        <is>
          <t>Jailbreak (2017, 69 votes)</t>
        </is>
      </c>
      <c r="Q34" s="5" t="inlineStr">
        <is>
          <t>First They Killed My Father (2017)</t>
        </is>
      </c>
      <c r="R34" s="5" t="inlineStr"/>
      <c r="S34" s="5" t="inlineStr">
        <is>
          <t>Ambiguous: sources conflict and are weak; Cambodia-Myanmar co-production.</t>
        </is>
      </c>
    </row>
    <row r="35">
      <c r="A35" s="3" t="inlineStr">
        <is>
          <t>Cameroun</t>
        </is>
      </c>
      <c r="B35" s="3" t="inlineStr">
        <is>
          <t>Afrique</t>
        </is>
      </c>
      <c r="C35" s="7" t="inlineStr">
        <is>
          <t>A</t>
        </is>
      </c>
      <c r="D35" s="3" t="inlineStr">
        <is>
          <t>forte</t>
        </is>
      </c>
      <c r="E35" s="3" t="inlineStr">
        <is>
          <t>Paris à tout prix</t>
        </is>
      </c>
      <c r="F35" s="3" t="inlineStr"/>
      <c r="G35" s="3" t="inlineStr">
        <is>
          <t>2008</t>
        </is>
      </c>
      <c r="H35" s="3" t="inlineStr">
        <is>
          <t>fr</t>
        </is>
      </c>
      <c r="I35" s="3" t="inlineStr"/>
      <c r="J35" s="3" t="inlineStr"/>
      <c r="K35" s="5" t="inlineStr">
        <is>
          <t>entrées : 70 000</t>
        </is>
      </c>
      <c r="L35" s="5" t="inlineStr"/>
      <c r="M35" s="6" t="inlineStr">
        <is>
          <t>https://letudiantafricain.com/blog-letudiant-africain/le-cin%C3%A9ma-camerounais-arr%C3%AAt-sur-image</t>
        </is>
      </c>
      <c r="N35" s="5" t="inlineStr"/>
      <c r="O35" s="5" t="inlineStr"/>
      <c r="P35" s="5" t="inlineStr">
        <is>
          <t>The Fisherman's Diary (2020, 22 votes)</t>
        </is>
      </c>
      <c r="Q35" s="5" t="inlineStr">
        <is>
          <t>Muna Moto (1975)</t>
        </is>
      </c>
      <c r="R35" s="5" t="inlineStr"/>
      <c r="S35" s="5" t="inlineStr">
        <is>
          <t>Africiné : Joséphine Ndagnou « détient le record des entrées » (25 000 en deux semaines) ; 70 000 d'après Coulon 2011 cité par L'Étudiant africain. https://www.africine.org/analyse/cinema-camerounais-la-re-montee-des-marches/7500. Le pays n'a plus que 3 salles ; Pousse-Pousse (1975) aurait dépassé 1 M d'entrées en Afrique francophone (non spécifique au Cameroun), donc record surtout de l'ère récente.</t>
        </is>
      </c>
    </row>
    <row r="36">
      <c r="A36" s="3" t="inlineStr">
        <is>
          <t>Canada</t>
        </is>
      </c>
      <c r="B36" s="3" t="inlineStr">
        <is>
          <t>Amériques</t>
        </is>
      </c>
      <c r="C36" s="7" t="inlineStr">
        <is>
          <t>A</t>
        </is>
      </c>
      <c r="D36" s="3" t="inlineStr">
        <is>
          <t>bonne</t>
        </is>
      </c>
      <c r="E36" s="3" t="inlineStr">
        <is>
          <t>Bon Cop, Bad Cop</t>
        </is>
      </c>
      <c r="F36" s="3" t="inlineStr">
        <is>
          <t>Bon Cop Bad Cop</t>
        </is>
      </c>
      <c r="G36" s="3" t="inlineStr">
        <is>
          <t>2006</t>
        </is>
      </c>
      <c r="H36" s="3" t="inlineStr">
        <is>
          <t>fr/en</t>
        </is>
      </c>
      <c r="I36" s="3" t="inlineStr"/>
      <c r="J36" s="3" t="n">
        <v>116</v>
      </c>
      <c r="K36" s="5" t="inlineStr">
        <is>
          <t>recettes nationales : CA$ 12,2 millions</t>
        </is>
      </c>
      <c r="L36" s="5" t="inlineStr"/>
      <c r="M36" s="6" t="inlineStr">
        <is>
          <t>https://en.wikipedia.org/wiki/Cinema_of_Canada</t>
        </is>
      </c>
      <c r="N36" s="6" t="inlineStr">
        <is>
          <t>https://www.themoviedb.org/movie/15049</t>
        </is>
      </c>
      <c r="O36" s="5" t="inlineStr">
        <is>
          <t>Porky's (1982), 11,2 M$ (film canado-américain en anglais)</t>
        </is>
      </c>
      <c r="P36" s="5" t="inlineStr">
        <is>
          <t>Enemy (2014, 6660 votes)</t>
        </is>
      </c>
      <c r="Q36" s="5" t="inlineStr">
        <is>
          <t>Cube (1997)</t>
        </is>
      </c>
      <c r="R36" s="5" t="inlineStr"/>
      <c r="S36" s="5" t="inlineStr">
        <is>
          <t>Film bilingue, classé en recettes (aucun chiffre d'entrées). Record québécois francophone : De père en flic (2009), à égalité ou presque. Film bilingue anglais/français. Record québécois francophone : De père en flic (2009), qui a égalé Bon Cop, Bad Cop selon Wikipedia (Cinema of Quebec, https://en.wikipedia.org/wiki/Cinema_of_Quebec). Chiffre exact de De père en flic non relevé. Aucun chiffre d'entrées trouvé, donc recettes.</t>
        </is>
      </c>
    </row>
    <row r="37">
      <c r="A37" s="3" t="inlineStr">
        <is>
          <t>Chili</t>
        </is>
      </c>
      <c r="B37" s="3" t="inlineStr">
        <is>
          <t>Amériques</t>
        </is>
      </c>
      <c r="C37" s="7" t="inlineStr">
        <is>
          <t>A</t>
        </is>
      </c>
      <c r="D37" s="3" t="inlineStr">
        <is>
          <t>forte</t>
        </is>
      </c>
      <c r="E37" s="3" t="inlineStr">
        <is>
          <t>Stefan v/s Kramer</t>
        </is>
      </c>
      <c r="F37" s="3" t="inlineStr">
        <is>
          <t>Stefan v/s Kramer</t>
        </is>
      </c>
      <c r="G37" s="3" t="inlineStr">
        <is>
          <t>2012</t>
        </is>
      </c>
      <c r="H37" s="3" t="inlineStr">
        <is>
          <t>es</t>
        </is>
      </c>
      <c r="I37" s="3" t="inlineStr"/>
      <c r="J37" s="3" t="n">
        <v>90</v>
      </c>
      <c r="K37" s="5" t="inlineStr">
        <is>
          <t>entrées : 2 070 465</t>
        </is>
      </c>
      <c r="L37" s="5" t="inlineStr"/>
      <c r="M37" s="6" t="inlineStr">
        <is>
          <t>https://es.wikipedia.org/wiki/Cine_de_Chile</t>
        </is>
      </c>
      <c r="N37" s="6" t="inlineStr">
        <is>
          <t>https://www.themoviedb.org/movie/132706</t>
        </is>
      </c>
      <c r="O37" s="5" t="inlineStr">
        <is>
          <t>Sin filtro (2016), 1 047 000</t>
        </is>
      </c>
      <c r="P37" s="5" t="inlineStr">
        <is>
          <t>Una mujer fantástica (2017, 761 votes)</t>
        </is>
      </c>
      <c r="Q37" s="5" t="inlineStr">
        <is>
          <t>Machuca (2004)</t>
        </is>
      </c>
      <c r="R37" s="5" t="inlineStr"/>
      <c r="S37" s="5" t="inlineStr">
        <is>
          <t>Présenté comme le film le plus vu de tous les temps au Chili, tous pays confondus (source El Observatodo, 2012).</t>
        </is>
      </c>
    </row>
    <row r="38">
      <c r="A38" s="3" t="inlineStr">
        <is>
          <t>Chine</t>
        </is>
      </c>
      <c r="B38" s="3" t="inlineStr">
        <is>
          <t>Asie</t>
        </is>
      </c>
      <c r="C38" s="7" t="inlineStr">
        <is>
          <t>A</t>
        </is>
      </c>
      <c r="D38" s="3" t="inlineStr">
        <is>
          <t>bonne</t>
        </is>
      </c>
      <c r="E38" s="3" t="inlineStr">
        <is>
          <t>哪吒之魔童闹海</t>
        </is>
      </c>
      <c r="F38" s="3" t="inlineStr">
        <is>
          <t>Ne Zha 2</t>
        </is>
      </c>
      <c r="G38" s="3" t="inlineStr">
        <is>
          <t>2025</t>
        </is>
      </c>
      <c r="H38" s="3" t="inlineStr">
        <is>
          <t>zh</t>
        </is>
      </c>
      <c r="I38" s="3" t="inlineStr">
        <is>
          <t>oui</t>
        </is>
      </c>
      <c r="J38" s="3" t="n">
        <v>144</v>
      </c>
      <c r="K38" s="5" t="inlineStr">
        <is>
          <t>recettes nationales : CN¥15,462,580,000</t>
        </is>
      </c>
      <c r="L38" s="5" t="inlineStr"/>
      <c r="M38" s="6" t="inlineStr">
        <is>
          <t>https://en.wikipedia.org/wiki/List_of_highest-grossing_films_in_China</t>
        </is>
      </c>
      <c r="N38" s="6" t="inlineStr">
        <is>
          <t>https://www.themoviedb.org/movie/980477</t>
        </is>
      </c>
      <c r="O38" s="5" t="inlineStr">
        <is>
          <t>The Battle at Lake Changjin (2021, CN¥5.776bn)</t>
        </is>
      </c>
      <c r="P38" s="5" t="inlineStr">
        <is>
          <t>葉問 (2008, 4296 votes)</t>
        </is>
      </c>
      <c r="Q38" s="5" t="inlineStr">
        <is>
          <t>Spring in a Small Town (1948)</t>
        </is>
      </c>
      <c r="R38" s="5" t="inlineStr"/>
      <c r="S38" s="5" t="inlineStr">
        <is>
          <t>Mainland China only.</t>
        </is>
      </c>
    </row>
    <row r="39">
      <c r="A39" s="3" t="inlineStr">
        <is>
          <t>Chypre</t>
        </is>
      </c>
      <c r="B39" s="3" t="inlineStr">
        <is>
          <t>Moyen-Orient</t>
        </is>
      </c>
      <c r="C39" s="4" t="inlineStr">
        <is>
          <t>B</t>
        </is>
      </c>
      <c r="D39" s="3" t="inlineStr">
        <is>
          <t>moyenne</t>
        </is>
      </c>
      <c r="E39" s="3" t="inlineStr">
        <is>
          <t>Αναζητώντας Τον Χέντριξ</t>
        </is>
      </c>
      <c r="F39" s="3" t="inlineStr">
        <is>
          <t>Where Is Jimi Hendrix ?</t>
        </is>
      </c>
      <c r="G39" s="3" t="inlineStr">
        <is>
          <t>2019</t>
        </is>
      </c>
      <c r="H39" s="3" t="inlineStr">
        <is>
          <t>el</t>
        </is>
      </c>
      <c r="I39" s="3" t="inlineStr"/>
      <c r="J39" s="3" t="n">
        <v>93</v>
      </c>
      <c r="K39" s="5" t="inlineStr">
        <is>
          <t>popularité TMDB : 56 votes</t>
        </is>
      </c>
      <c r="L39" s="5" t="inlineStr">
        <is>
          <t>location : Orange VOD, Canal VOD, Sooner, ARTE VOD ; achat : Orange VOD, Canal VOD, Sooner, ARTE VOD</t>
        </is>
      </c>
      <c r="M39" s="6" t="inlineStr">
        <is>
          <t>https://www.themoviedb.org/movie/512092</t>
        </is>
      </c>
      <c r="N39" s="6" t="inlineStr">
        <is>
          <t>https://www.themoviedb.org/movie/512092</t>
        </is>
      </c>
      <c r="O39" s="5" t="inlineStr"/>
      <c r="P39" s="5" t="inlineStr">
        <is>
          <t>Αναζητώντας Τον Χέντριξ (2019, 56 votes)</t>
        </is>
      </c>
      <c r="Q39" s="5" t="inlineStr">
        <is>
          <t>Knifer (2010)</t>
        </is>
      </c>
      <c r="R39" s="5" t="inlineStr"/>
      <c r="S39" s="5" t="inlineStr">
        <is>
          <t>Pas de donnée sourcée. / Pas de donnée sourcée.</t>
        </is>
      </c>
    </row>
    <row r="40">
      <c r="A40" s="3" t="inlineStr">
        <is>
          <t>Cité du Vatican</t>
        </is>
      </c>
      <c r="B40" s="3" t="inlineStr">
        <is>
          <t>Europe</t>
        </is>
      </c>
      <c r="C40" s="8" t="inlineStr">
        <is>
          <t>D</t>
        </is>
      </c>
      <c r="D40" s="3" t="inlineStr">
        <is>
          <t>très faible (moins de 50 votes)</t>
        </is>
      </c>
      <c r="E40" s="3" t="inlineStr">
        <is>
          <t>Todos, todos, todos!</t>
        </is>
      </c>
      <c r="F40" s="3" t="inlineStr">
        <is>
          <t>Todos, todos, todos!</t>
        </is>
      </c>
      <c r="G40" s="3" t="inlineStr">
        <is>
          <t>2026</t>
        </is>
      </c>
      <c r="H40" s="3" t="inlineStr">
        <is>
          <t>it</t>
        </is>
      </c>
      <c r="I40" s="3" t="inlineStr"/>
      <c r="J40" s="3" t="n">
        <v>27</v>
      </c>
      <c r="K40" s="5" t="inlineStr">
        <is>
          <t>popularité TMDB : 0 votes</t>
        </is>
      </c>
      <c r="L40" s="5" t="inlineStr"/>
      <c r="M40" s="6" t="inlineStr">
        <is>
          <t>https://www.themoviedb.org/movie/1704694</t>
        </is>
      </c>
      <c r="N40" s="6" t="inlineStr">
        <is>
          <t>https://www.themoviedb.org/movie/1704694</t>
        </is>
      </c>
      <c r="O40" s="5" t="inlineStr"/>
      <c r="P40" s="5" t="inlineStr">
        <is>
          <t>Todos, todos, todos! (2026, 0 votes)</t>
        </is>
      </c>
      <c r="Q40" s="5" t="inlineStr"/>
      <c r="R40" s="5" t="inlineStr"/>
      <c r="S40" s="5" t="inlineStr">
        <is>
          <t>Pas d'industrie nationale.</t>
        </is>
      </c>
    </row>
    <row r="41">
      <c r="A41" s="3" t="inlineStr">
        <is>
          <t>Colombie</t>
        </is>
      </c>
      <c r="B41" s="3" t="inlineStr">
        <is>
          <t>Amériques</t>
        </is>
      </c>
      <c r="C41" s="7" t="inlineStr">
        <is>
          <t>A</t>
        </is>
      </c>
      <c r="D41" s="3" t="inlineStr">
        <is>
          <t>forte</t>
        </is>
      </c>
      <c r="E41" s="3" t="inlineStr">
        <is>
          <t>El paseo 4</t>
        </is>
      </c>
      <c r="F41" s="3" t="inlineStr">
        <is>
          <t>El paseo 4</t>
        </is>
      </c>
      <c r="G41" s="3" t="inlineStr">
        <is>
          <t>2016</t>
        </is>
      </c>
      <c r="H41" s="3" t="inlineStr">
        <is>
          <t>es</t>
        </is>
      </c>
      <c r="I41" s="3" t="inlineStr"/>
      <c r="J41" s="3" t="n">
        <v>95</v>
      </c>
      <c r="K41" s="5" t="inlineStr">
        <is>
          <t>entrées : 1 652 722</t>
        </is>
      </c>
      <c r="L41" s="5" t="inlineStr"/>
      <c r="M41" s="6" t="inlineStr">
        <is>
          <t>https://es.wikipedia.org/wiki/El_paseo_4</t>
        </is>
      </c>
      <c r="N41" s="6" t="inlineStr">
        <is>
          <t>https://www.themoviedb.org/movie/434608</t>
        </is>
      </c>
      <c r="O41" s="5" t="inlineStr">
        <is>
          <t>non relevé</t>
        </is>
      </c>
      <c r="P41" s="5" t="inlineStr">
        <is>
          <t>María, llena eres de gracia (2004, 444 votes)</t>
        </is>
      </c>
      <c r="Q41" s="5" t="inlineStr">
        <is>
          <t>The Hidden Face (2011)</t>
        </is>
      </c>
      <c r="R41" s="5" t="inlineStr"/>
      <c r="S41" s="5" t="inlineStr">
        <is>
          <t>Wikipedia la dit deuxième film colombien le plus vu, derrière le documentaire Colombia Magia Salvaje, exclu par la règle documentaire. Source secondaire, à recouper avec Proimágenes Colombia.</t>
        </is>
      </c>
    </row>
    <row r="42">
      <c r="A42" s="3" t="inlineStr">
        <is>
          <t>Comores</t>
        </is>
      </c>
      <c r="B42" s="3" t="inlineStr">
        <is>
          <t>Afrique</t>
        </is>
      </c>
      <c r="C42" s="9" t="inlineStr">
        <is>
          <t>C</t>
        </is>
      </c>
      <c r="D42" s="3" t="inlineStr">
        <is>
          <t>faible (choix éditorial, pas d'audience)</t>
        </is>
      </c>
      <c r="E42" s="3" t="inlineStr">
        <is>
          <t>Yéyamba Wandzé Mdrou Ndo?</t>
        </is>
      </c>
      <c r="F42" s="3" t="inlineStr">
        <is>
          <t>Yéyamba Wandzé Mdrou Ndo?</t>
        </is>
      </c>
      <c r="G42" s="3" t="inlineStr">
        <is>
          <t>2000</t>
        </is>
      </c>
      <c r="H42" s="3" t="inlineStr">
        <is>
          <t>cr</t>
        </is>
      </c>
      <c r="I42" s="3" t="inlineStr"/>
      <c r="J42" s="3" t="n">
        <v>55</v>
      </c>
      <c r="K42" s="5" t="inlineStr">
        <is>
          <t>choix « native » de Films Around the World</t>
        </is>
      </c>
      <c r="L42" s="5" t="inlineStr"/>
      <c r="M42" s="6" t="inlineStr">
        <is>
          <t>https://filmsaroundthe.world/country/comoros/films/yeyamba-wandze-mdrou-ndo-fd72b6e081afa42e4/</t>
        </is>
      </c>
      <c r="N42" s="6" t="inlineStr">
        <is>
          <t>https://www.themoviedb.org/movie/470953</t>
        </is>
      </c>
      <c r="O42" s="5" t="inlineStr"/>
      <c r="P42" s="5" t="inlineStr">
        <is>
          <t>Miadi (2023, 1 votes)</t>
        </is>
      </c>
      <c r="Q42" s="5" t="inlineStr">
        <is>
          <t>Yéyamba Wandzé Mdrou Ndo? (2000)</t>
        </is>
      </c>
      <c r="R42" s="5" t="inlineStr"/>
      <c r="S42" s="5" t="inlineStr">
        <is>
          <t>pas de box-office national suivi ou publié trouvé</t>
        </is>
      </c>
    </row>
    <row r="43">
      <c r="A43" s="3" t="inlineStr">
        <is>
          <t>Congo</t>
        </is>
      </c>
      <c r="B43" s="3" t="inlineStr">
        <is>
          <t>Afrique</t>
        </is>
      </c>
      <c r="C43" s="9" t="inlineStr">
        <is>
          <t>C</t>
        </is>
      </c>
      <c r="D43" s="3" t="inlineStr">
        <is>
          <t>faible (choix éditorial, pas d'audience)</t>
        </is>
      </c>
      <c r="E43" s="3" t="inlineStr">
        <is>
          <t>La Rançon d'une alliance</t>
        </is>
      </c>
      <c r="F43" s="3" t="inlineStr">
        <is>
          <t>La Rançon d'une alliance</t>
        </is>
      </c>
      <c r="G43" s="3" t="inlineStr">
        <is>
          <t>1974</t>
        </is>
      </c>
      <c r="H43" s="3" t="inlineStr">
        <is>
          <t>ln</t>
        </is>
      </c>
      <c r="I43" s="3" t="inlineStr"/>
      <c r="J43" s="3" t="n">
        <v>71</v>
      </c>
      <c r="K43" s="5" t="inlineStr">
        <is>
          <t>choix « native » de Films Around the World</t>
        </is>
      </c>
      <c r="L43" s="5" t="inlineStr"/>
      <c r="M43" s="6" t="inlineStr">
        <is>
          <t>https://filmsaroundthe.world/country/republic-of-the-congo/films/la-rancon-d-une-alliance-f6f7324a3da5cd10a/</t>
        </is>
      </c>
      <c r="N43" s="6" t="inlineStr">
        <is>
          <t>https://www.themoviedb.org/movie/984973</t>
        </is>
      </c>
      <c r="O43" s="5" t="inlineStr"/>
      <c r="P43" s="5" t="inlineStr">
        <is>
          <t>Grave erreur 2 (2019, 1 votes)</t>
        </is>
      </c>
      <c r="Q43" s="5" t="inlineStr">
        <is>
          <t>La Rançon d'une alliance (1974)</t>
        </is>
      </c>
      <c r="R43" s="5" t="inlineStr"/>
      <c r="S43" s="5" t="inlineStr">
        <is>
          <t>pas de box-office national suivi ou publié trouvé</t>
        </is>
      </c>
    </row>
    <row r="44">
      <c r="A44" s="3" t="inlineStr">
        <is>
          <t>Congo (Rép. dém.)</t>
        </is>
      </c>
      <c r="B44" s="3" t="inlineStr">
        <is>
          <t>Afrique</t>
        </is>
      </c>
      <c r="C44" s="9" t="inlineStr">
        <is>
          <t>C</t>
        </is>
      </c>
      <c r="D44" s="3" t="inlineStr">
        <is>
          <t>faible (choix éditorial, pas d'audience)</t>
        </is>
      </c>
      <c r="E44" s="3" t="inlineStr">
        <is>
          <t>Viva Riva!</t>
        </is>
      </c>
      <c r="F44" s="3" t="inlineStr">
        <is>
          <t>Viva Riva!</t>
        </is>
      </c>
      <c r="G44" s="3" t="inlineStr">
        <is>
          <t>2010</t>
        </is>
      </c>
      <c r="H44" s="3" t="inlineStr">
        <is>
          <t>fr</t>
        </is>
      </c>
      <c r="I44" s="3" t="inlineStr"/>
      <c r="J44" s="3" t="n">
        <v>93</v>
      </c>
      <c r="K44" s="5" t="inlineStr">
        <is>
          <t>choix « native » de Films Around the World</t>
        </is>
      </c>
      <c r="L44" s="5" t="inlineStr"/>
      <c r="M44" s="6" t="inlineStr">
        <is>
          <t>https://filmsaroundthe.world/country/democratic-republic-of-the-congo/films/viva-riva-f931fdd22c03ee7ee/</t>
        </is>
      </c>
      <c r="N44" s="6" t="inlineStr">
        <is>
          <t>https://www.themoviedb.org/movie/63946</t>
        </is>
      </c>
      <c r="O44" s="5" t="inlineStr"/>
      <c r="P44" s="5" t="inlineStr">
        <is>
          <t>Rumba Royale (2025, 2 votes)</t>
        </is>
      </c>
      <c r="Q44" s="5" t="inlineStr">
        <is>
          <t>Viva Riva! (2010)</t>
        </is>
      </c>
      <c r="R44" s="5" t="inlineStr"/>
      <c r="S44" s="5" t="inlineStr">
        <is>
          <t>pas de box-office national suivi ou publié trouvé</t>
        </is>
      </c>
    </row>
    <row r="45">
      <c r="A45" s="3" t="inlineStr">
        <is>
          <t>Corée du Nord</t>
        </is>
      </c>
      <c r="B45" s="3" t="inlineStr">
        <is>
          <t>Asie</t>
        </is>
      </c>
      <c r="C45" s="4" t="inlineStr">
        <is>
          <t>B</t>
        </is>
      </c>
      <c r="D45" s="3" t="inlineStr">
        <is>
          <t>moyenne</t>
        </is>
      </c>
      <c r="E45" s="3" t="inlineStr">
        <is>
          <t>불가사리</t>
        </is>
      </c>
      <c r="F45" s="3" t="inlineStr">
        <is>
          <t>Pulgasari</t>
        </is>
      </c>
      <c r="G45" s="3" t="inlineStr">
        <is>
          <t>1986</t>
        </is>
      </c>
      <c r="H45" s="3" t="inlineStr">
        <is>
          <t>ko</t>
        </is>
      </c>
      <c r="I45" s="3" t="inlineStr"/>
      <c r="J45" s="3" t="n">
        <v>95</v>
      </c>
      <c r="K45" s="5" t="inlineStr">
        <is>
          <t>popularité TMDB : 57 votes</t>
        </is>
      </c>
      <c r="L45" s="5" t="inlineStr">
        <is>
          <t>gratuit : Cultpix</t>
        </is>
      </c>
      <c r="M45" s="6" t="inlineStr">
        <is>
          <t>https://www.themoviedb.org/movie/26974</t>
        </is>
      </c>
      <c r="N45" s="6" t="inlineStr">
        <is>
          <t>https://www.themoviedb.org/movie/26974</t>
        </is>
      </c>
      <c r="O45" s="5" t="inlineStr"/>
      <c r="P45" s="5" t="inlineStr">
        <is>
          <t>불가사리 (1986, 57 votes)</t>
        </is>
      </c>
      <c r="Q45" s="5" t="inlineStr">
        <is>
          <t>Hong Gil-dong (1986)</t>
        </is>
      </c>
      <c r="R45" s="5" t="inlineStr"/>
      <c r="S45" s="5" t="inlineStr">
        <is>
          <t>No sourced box office data.</t>
        </is>
      </c>
    </row>
    <row r="46">
      <c r="A46" s="3" t="inlineStr">
        <is>
          <t>Corée du Sud</t>
        </is>
      </c>
      <c r="B46" s="3" t="inlineStr">
        <is>
          <t>Asie</t>
        </is>
      </c>
      <c r="C46" s="7" t="inlineStr">
        <is>
          <t>A</t>
        </is>
      </c>
      <c r="D46" s="3" t="inlineStr">
        <is>
          <t>forte</t>
        </is>
      </c>
      <c r="E46" s="3" t="inlineStr">
        <is>
          <t>명량</t>
        </is>
      </c>
      <c r="F46" s="3" t="inlineStr">
        <is>
          <t>L'Amiral</t>
        </is>
      </c>
      <c r="G46" s="3" t="inlineStr">
        <is>
          <t>2014</t>
        </is>
      </c>
      <c r="H46" s="3" t="inlineStr">
        <is>
          <t>ko</t>
        </is>
      </c>
      <c r="I46" s="3" t="inlineStr"/>
      <c r="J46" s="3" t="n">
        <v>126</v>
      </c>
      <c r="K46" s="5" t="inlineStr">
        <is>
          <t>entrées : 17,616,661</t>
        </is>
      </c>
      <c r="L46" s="5" t="inlineStr">
        <is>
          <t>gratuit pub : Rakuten TV, Plex, Plex Channel ; location : Apple TV Store, YouTube ; achat : Apple TV Store, YouTube, Canal VOD</t>
        </is>
      </c>
      <c r="M46" s="6" t="inlineStr">
        <is>
          <t>https://en.wikipedia.org/wiki/List_of_highest-grossing_films_in_South_Korea</t>
        </is>
      </c>
      <c r="N46" s="6" t="inlineStr">
        <is>
          <t>https://www.themoviedb.org/movie/282631</t>
        </is>
      </c>
      <c r="O46" s="5" t="inlineStr">
        <is>
          <t>The King's Warden (2026, 16,918,111)</t>
        </is>
      </c>
      <c r="P46" s="5" t="inlineStr">
        <is>
          <t>기생충 (2019, 21540 votes)</t>
        </is>
      </c>
      <c r="Q46" s="5" t="inlineStr">
        <is>
          <t>Parasite (2019)</t>
        </is>
      </c>
      <c r="R46" s="5" t="inlineStr"/>
      <c r="S46" s="5" t="inlineStr">
        <is>
          <t>KOFIC admissions.</t>
        </is>
      </c>
    </row>
    <row r="47">
      <c r="A47" s="3" t="inlineStr">
        <is>
          <t>Costa Rica</t>
        </is>
      </c>
      <c r="B47" s="3" t="inlineStr">
        <is>
          <t>Amériques</t>
        </is>
      </c>
      <c r="C47" s="7" t="inlineStr">
        <is>
          <t>A</t>
        </is>
      </c>
      <c r="D47" s="3" t="inlineStr">
        <is>
          <t>forte</t>
        </is>
      </c>
      <c r="E47" s="3" t="inlineStr">
        <is>
          <t>Maikol Yordan de viaje perdido</t>
        </is>
      </c>
      <c r="F47" s="3" t="inlineStr">
        <is>
          <t>Maikol Yordan de Viaje Perdido</t>
        </is>
      </c>
      <c r="G47" s="3" t="inlineStr">
        <is>
          <t>2014</t>
        </is>
      </c>
      <c r="H47" s="3" t="inlineStr">
        <is>
          <t>es</t>
        </is>
      </c>
      <c r="I47" s="3" t="inlineStr"/>
      <c r="J47" s="3" t="n">
        <v>101</v>
      </c>
      <c r="K47" s="5" t="inlineStr">
        <is>
          <t>entrées : 550 629</t>
        </is>
      </c>
      <c r="L47" s="5" t="inlineStr"/>
      <c r="M47" s="6" t="inlineStr">
        <is>
          <t>https://www.nacion.com/viva/cine/maikol-yordan-de-viaje-perdido-es-la-pelicula-mas-vista-en-la-historia-de-costa-rica/IZ7PGSKN3ZDG7HUGEPD5KHNOXY/story/</t>
        </is>
      </c>
      <c r="N47" s="6" t="inlineStr">
        <is>
          <t>https://www.themoviedb.org/movie/364868</t>
        </is>
      </c>
      <c r="O47" s="5" t="inlineStr">
        <is>
          <t>n/d</t>
        </is>
      </c>
      <c r="P47" s="5" t="inlineStr">
        <is>
          <t>Aurora (2021, 37 votes)</t>
        </is>
      </c>
      <c r="Q47" s="5" t="inlineStr">
        <is>
          <t>Maikol Yordan de Viaje Perdido (2014)</t>
        </is>
      </c>
      <c r="R47" s="5" t="inlineStr"/>
      <c r="S47" s="5" t="inlineStr">
        <is>
          <t>Chiffre à ~6 semaines (janvier 2015), total final probablement plus élevé. Dépasse La era del hielo 4 (543 790).</t>
        </is>
      </c>
    </row>
    <row r="48">
      <c r="A48" s="3" t="inlineStr">
        <is>
          <t>Côte d'Ivoire</t>
        </is>
      </c>
      <c r="B48" s="3" t="inlineStr">
        <is>
          <t>Afrique</t>
        </is>
      </c>
      <c r="C48" s="7" t="inlineStr">
        <is>
          <t>A</t>
        </is>
      </c>
      <c r="D48" s="3" t="inlineStr">
        <is>
          <t>forte</t>
        </is>
      </c>
      <c r="E48" s="3" t="inlineStr">
        <is>
          <t>Marabout chéri</t>
        </is>
      </c>
      <c r="F48" s="3" t="inlineStr">
        <is>
          <t>Marabout Chéri</t>
        </is>
      </c>
      <c r="G48" s="3" t="inlineStr">
        <is>
          <t>2023</t>
        </is>
      </c>
      <c r="H48" s="3" t="inlineStr">
        <is>
          <t>fr</t>
        </is>
      </c>
      <c r="I48" s="3" t="inlineStr"/>
      <c r="J48" s="3" t="inlineStr"/>
      <c r="K48" s="5" t="inlineStr">
        <is>
          <t>entrées : 35 312</t>
        </is>
      </c>
      <c r="L48" s="5" t="inlineStr"/>
      <c r="M48" s="6" t="inlineStr">
        <is>
          <t>https://cotedivoirecinema.com/index.php/2026/05/08/test-article-1</t>
        </is>
      </c>
      <c r="N48" s="6" t="inlineStr">
        <is>
          <t>https://www.themoviedb.org/movie/1125238</t>
        </is>
      </c>
      <c r="O48" s="5" t="inlineStr">
        <is>
          <t>Dans la peau d'un caïd (2019) : 21 483</t>
        </is>
      </c>
      <c r="P48" s="5" t="inlineStr">
        <is>
          <t>La Victoire en chantant (1976, 44 votes)</t>
        </is>
      </c>
      <c r="Q48" s="5" t="inlineStr">
        <is>
          <t>Faces of Women (1985)</t>
        </is>
      </c>
      <c r="R48" s="5" t="inlineStr"/>
      <c r="S48" s="5" t="inlineStr">
        <is>
          <t>Source ONAC-CI (« reste à ce jour le plus grand succès du cinéma ivoirien »). Suivi chiffré seulement depuis 2019 ; voir aussi https://fr.wikipedia.org/wiki/Box-office_C%C3%B4te_d%27Ivoire. Marché de 15 écrans.</t>
        </is>
      </c>
    </row>
    <row r="49">
      <c r="A49" s="3" t="inlineStr">
        <is>
          <t>Croatie</t>
        </is>
      </c>
      <c r="B49" s="3" t="inlineStr">
        <is>
          <t>Europe</t>
        </is>
      </c>
      <c r="C49" s="7" t="inlineStr">
        <is>
          <t>A</t>
        </is>
      </c>
      <c r="D49" s="3" t="inlineStr">
        <is>
          <t>forte</t>
        </is>
      </c>
      <c r="E49" s="3" t="inlineStr">
        <is>
          <t>Svadba</t>
        </is>
      </c>
      <c r="F49" s="3" t="inlineStr">
        <is>
          <t>Svadba</t>
        </is>
      </c>
      <c r="G49" s="3" t="inlineStr">
        <is>
          <t>2026</t>
        </is>
      </c>
      <c r="H49" s="3" t="inlineStr">
        <is>
          <t>hr</t>
        </is>
      </c>
      <c r="I49" s="3" t="inlineStr"/>
      <c r="J49" s="3" t="n">
        <v>97</v>
      </c>
      <c r="K49" s="5" t="inlineStr">
        <is>
          <t>entrées : 426474</t>
        </is>
      </c>
      <c r="L49" s="5" t="inlineStr"/>
      <c r="M49" s="6" t="inlineStr">
        <is>
          <t>https://hr.wikipedia.org/wiki/Popis_najgledanijih_hrvatskih_filmova</t>
        </is>
      </c>
      <c r="N49" s="6" t="inlineStr">
        <is>
          <t>https://www.themoviedb.org/movie/1551507</t>
        </is>
      </c>
      <c r="O49" s="5" t="inlineStr">
        <is>
          <t>Kako je počeo rat na mom otoku (1996), 338000</t>
        </is>
      </c>
      <c r="P49" s="5" t="inlineStr">
        <is>
          <t>Svećenikova djeca (2013, 74 votes)</t>
        </is>
      </c>
      <c r="Q49" s="5" t="inlineStr">
        <is>
          <t>The High Sun (2015)</t>
        </is>
      </c>
      <c r="R49" s="5" t="inlineStr"/>
      <c r="S49" s="5" t="inlineStr">
        <is>
          <t>Chiffre au 4/02/2026. Nationalité du film à confirmer (réalisateur croate, casting en partie serbe).</t>
        </is>
      </c>
    </row>
    <row r="50">
      <c r="A50" s="3" t="inlineStr">
        <is>
          <t>Cuba</t>
        </is>
      </c>
      <c r="B50" s="3" t="inlineStr">
        <is>
          <t>Amériques</t>
        </is>
      </c>
      <c r="C50" s="4" t="inlineStr">
        <is>
          <t>B</t>
        </is>
      </c>
      <c r="D50" s="3" t="inlineStr">
        <is>
          <t>moyenne</t>
        </is>
      </c>
      <c r="E50" s="3" t="inlineStr">
        <is>
          <t>Soy Cuba</t>
        </is>
      </c>
      <c r="F50" s="3" t="inlineStr">
        <is>
          <t>Soy Cuba</t>
        </is>
      </c>
      <c r="G50" s="3" t="inlineStr">
        <is>
          <t>1964</t>
        </is>
      </c>
      <c r="H50" s="3" t="inlineStr">
        <is>
          <t>es</t>
        </is>
      </c>
      <c r="I50" s="3" t="inlineStr"/>
      <c r="J50" s="3" t="n">
        <v>140</v>
      </c>
      <c r="K50" s="5" t="inlineStr">
        <is>
          <t>popularité TMDB : 265 votes</t>
        </is>
      </c>
      <c r="L50" s="5" t="inlineStr">
        <is>
          <t>achat : Sooner</t>
        </is>
      </c>
      <c r="M50" s="6" t="inlineStr">
        <is>
          <t>https://www.themoviedb.org/movie/32015</t>
        </is>
      </c>
      <c r="N50" s="6" t="inlineStr">
        <is>
          <t>https://www.themoviedb.org/movie/32015</t>
        </is>
      </c>
      <c r="O50" s="5" t="inlineStr"/>
      <c r="P50" s="5" t="inlineStr">
        <is>
          <t>Soy Cuba (1964, 265 votes)</t>
        </is>
      </c>
      <c r="Q50" s="5" t="inlineStr">
        <is>
          <t>Memories of Underdevelopment (1968)</t>
        </is>
      </c>
      <c r="R50" s="5" t="inlineStr"/>
      <c r="S50" s="5" t="inlineStr">
        <is>
          <t>Pas d'entrées sourcées. Candidats : Fresa y chocolate (1993), Vampiros en La Habana (1985), Juan de los Muertos (2011). / Aucune donnée sourcée trouvée dans cette passe</t>
        </is>
      </c>
    </row>
    <row r="51">
      <c r="A51" s="3" t="inlineStr">
        <is>
          <t>Danemark</t>
        </is>
      </c>
      <c r="B51" s="3" t="inlineStr">
        <is>
          <t>Europe</t>
        </is>
      </c>
      <c r="C51" s="7" t="inlineStr">
        <is>
          <t>A</t>
        </is>
      </c>
      <c r="D51" s="3" t="inlineStr">
        <is>
          <t>forte</t>
        </is>
      </c>
      <c r="E51" s="3" t="inlineStr">
        <is>
          <t>Olsen-banden ser rødt</t>
        </is>
      </c>
      <c r="F51" s="3" t="inlineStr">
        <is>
          <t>Olsen-banden ser rødt</t>
        </is>
      </c>
      <c r="G51" s="3" t="inlineStr">
        <is>
          <t>1976</t>
        </is>
      </c>
      <c r="H51" s="3" t="inlineStr">
        <is>
          <t>da</t>
        </is>
      </c>
      <c r="I51" s="3" t="inlineStr"/>
      <c r="J51" s="3" t="n">
        <v>100</v>
      </c>
      <c r="K51" s="5" t="inlineStr">
        <is>
          <t>entrées : 1201293</t>
        </is>
      </c>
      <c r="L51" s="5" t="inlineStr"/>
      <c r="M51" s="6" t="inlineStr">
        <is>
          <t>https://da.wikipedia.org/wiki/Mest_sete_danske_film</t>
        </is>
      </c>
      <c r="N51" s="6" t="inlineStr">
        <is>
          <t>https://www.themoviedb.org/movie/11392</t>
        </is>
      </c>
      <c r="O51" s="5" t="inlineStr">
        <is>
          <t>Olsen-banden deruda' (1977), 1044801</t>
        </is>
      </c>
      <c r="P51" s="5" t="inlineStr">
        <is>
          <t>Jagten (2012, 5045 votes)</t>
        </is>
      </c>
      <c r="Q51" s="5" t="inlineStr">
        <is>
          <t>Ordet (1955)</t>
        </is>
      </c>
      <c r="R51" s="5" t="inlineStr"/>
      <c r="S51" s="5" t="inlineStr">
        <is>
          <t>Statistiques depuis 1976. De røde Heste (1950) estimé à 2,0-2,6 M, non officiel.</t>
        </is>
      </c>
    </row>
    <row r="52">
      <c r="A52" s="3" t="inlineStr">
        <is>
          <t>Djibouti</t>
        </is>
      </c>
      <c r="B52" s="3" t="inlineStr">
        <is>
          <t>Afrique</t>
        </is>
      </c>
      <c r="C52" s="9" t="inlineStr">
        <is>
          <t>C</t>
        </is>
      </c>
      <c r="D52" s="3" t="inlineStr">
        <is>
          <t>faible (choix éditorial, pas d'audience)</t>
        </is>
      </c>
      <c r="E52" s="3" t="inlineStr">
        <is>
          <t>Dhalinyaro</t>
        </is>
      </c>
      <c r="F52" s="3" t="inlineStr">
        <is>
          <t>Jeunesse</t>
        </is>
      </c>
      <c r="G52" s="3" t="inlineStr">
        <is>
          <t>2018</t>
        </is>
      </c>
      <c r="H52" s="3" t="inlineStr">
        <is>
          <t>so</t>
        </is>
      </c>
      <c r="I52" s="3" t="inlineStr"/>
      <c r="J52" s="3" t="n">
        <v>86</v>
      </c>
      <c r="K52" s="5" t="inlineStr">
        <is>
          <t>choix « native » de Films Around the World</t>
        </is>
      </c>
      <c r="L52" s="5" t="inlineStr"/>
      <c r="M52" s="6" t="inlineStr">
        <is>
          <t>https://filmsaroundthe.world/country/djibouti/films/dhalinyaro-fd603e389fe341fd0/</t>
        </is>
      </c>
      <c r="N52" s="6" t="inlineStr">
        <is>
          <t>https://www.themoviedb.org/movie/345927</t>
        </is>
      </c>
      <c r="O52" s="5" t="inlineStr"/>
      <c r="P52" s="5" t="inlineStr"/>
      <c r="Q52" s="5" t="inlineStr">
        <is>
          <t>Dhalinyaro (2018)</t>
        </is>
      </c>
      <c r="R52" s="5" t="inlineStr"/>
      <c r="S52" s="5" t="inlineStr">
        <is>
          <t>pas de box-office national suivi ou publié trouvé</t>
        </is>
      </c>
    </row>
    <row r="53">
      <c r="A53" s="3" t="inlineStr">
        <is>
          <t>Dominique</t>
        </is>
      </c>
      <c r="B53" s="3" t="inlineStr">
        <is>
          <t>Amériques</t>
        </is>
      </c>
      <c r="C53" s="8" t="inlineStr">
        <is>
          <t>D</t>
        </is>
      </c>
      <c r="D53" s="3" t="inlineStr">
        <is>
          <t>très faible (moins de 50 votes)</t>
        </is>
      </c>
      <c r="E53" s="3" t="inlineStr">
        <is>
          <t>Oseyi and the Masqueraders</t>
        </is>
      </c>
      <c r="F53" s="3" t="inlineStr">
        <is>
          <t>Oseyi and the Masqueraders</t>
        </is>
      </c>
      <c r="G53" s="3" t="inlineStr">
        <is>
          <t>2018</t>
        </is>
      </c>
      <c r="H53" s="3" t="inlineStr">
        <is>
          <t>en</t>
        </is>
      </c>
      <c r="I53" s="3" t="inlineStr"/>
      <c r="J53" s="3" t="n">
        <v>30</v>
      </c>
      <c r="K53" s="5" t="inlineStr">
        <is>
          <t>popularité TMDB : 1 votes</t>
        </is>
      </c>
      <c r="L53" s="5" t="inlineStr"/>
      <c r="M53" s="6" t="inlineStr">
        <is>
          <t>https://www.themoviedb.org/movie/1269098</t>
        </is>
      </c>
      <c r="N53" s="6" t="inlineStr">
        <is>
          <t>https://www.themoviedb.org/movie/1269098</t>
        </is>
      </c>
      <c r="O53" s="5" t="inlineStr"/>
      <c r="P53" s="5" t="inlineStr">
        <is>
          <t>Oseyi and the Masqueraders (2018, 1 votes)</t>
        </is>
      </c>
      <c r="Q53" s="5" t="inlineStr"/>
      <c r="R53" s="5" t="inlineStr"/>
      <c r="S53" s="5" t="inlineStr">
        <is>
          <t>Aucune donnée sourcée trouvée dans cette passe</t>
        </is>
      </c>
    </row>
    <row r="54">
      <c r="A54" s="3" t="inlineStr">
        <is>
          <t>Égypte</t>
        </is>
      </c>
      <c r="B54" s="3" t="inlineStr">
        <is>
          <t>Afrique</t>
        </is>
      </c>
      <c r="C54" s="7" t="inlineStr">
        <is>
          <t>A</t>
        </is>
      </c>
      <c r="D54" s="3" t="inlineStr">
        <is>
          <t>bonne</t>
        </is>
      </c>
      <c r="E54" s="3" t="inlineStr">
        <is>
          <t>ولاد رزق 3</t>
        </is>
      </c>
      <c r="F54" s="3" t="inlineStr">
        <is>
          <t>ولاد رزق 3: القاضية</t>
        </is>
      </c>
      <c r="G54" s="3" t="inlineStr">
        <is>
          <t>2024</t>
        </is>
      </c>
      <c r="H54" s="3" t="inlineStr">
        <is>
          <t>ar</t>
        </is>
      </c>
      <c r="I54" s="3" t="inlineStr"/>
      <c r="J54" s="3" t="n">
        <v>125</v>
      </c>
      <c r="K54" s="5" t="inlineStr">
        <is>
          <t>recettes nationales : EGP 260,226,986</t>
        </is>
      </c>
      <c r="L54" s="5" t="inlineStr">
        <is>
          <t>abonnement : Shahid VIP</t>
        </is>
      </c>
      <c r="M54" s="6" t="inlineStr">
        <is>
          <t>https://ar.wikipedia.org/wiki/%D9%82%D8%A7%D8%A6%D9%85%D8%A9_%D8%A3%D8%B9%D9%84%D9%89_%D8%A7%D9%84%D8%A3%D9%81%D9%84%D8%A7%D9%85_%D8%AF%D8%AE%D9%84%D8%A7_%D9%81%D9%8A_%D9%85%D8%B5%D8%B1</t>
        </is>
      </c>
      <c r="N54" s="6" t="inlineStr">
        <is>
          <t>https://www.themoviedb.org/movie/629040</t>
        </is>
      </c>
      <c r="O54" s="5" t="inlineStr">
        <is>
          <t>Barshama (2026) EGP 210,867,672 ; Sico Sico (2025) EGP 186,755,604</t>
        </is>
      </c>
      <c r="P54" s="5" t="inlineStr">
        <is>
          <t>باب الحديد (1958, 155 votes)</t>
        </is>
      </c>
      <c r="Q54" s="5" t="inlineStr">
        <is>
          <t>Cairo Station (1958)</t>
        </is>
      </c>
      <c r="R54" s="5" t="inlineStr"/>
      <c r="S54" s="5" t="inlineStr">
        <is>
          <t>Arbitrage : 7 Dogs (2026, 272,9 M EGP) est devant, mais c'est une production saoudienne avec un casting égyptien. Écarté. AMBIGU : l'Arabe Wikipedia place en tête Al-Kilab al-Sab'a / 7 Dogs (2026, EGP 272,871,508), classé production saoudienne (Sela Studios, réal. belges Adil &amp; Bilall) avec casting égyptien. Écarté comme non national. Recettes en livres, pas d'entrées (inflation des prix).</t>
        </is>
      </c>
    </row>
    <row r="55">
      <c r="A55" s="3" t="inlineStr">
        <is>
          <t>Émirats arabes unis</t>
        </is>
      </c>
      <c r="B55" s="3" t="inlineStr">
        <is>
          <t>Moyen-Orient</t>
        </is>
      </c>
      <c r="C55" s="4" t="inlineStr">
        <is>
          <t>B</t>
        </is>
      </c>
      <c r="D55" s="3" t="inlineStr">
        <is>
          <t>moyenne</t>
        </is>
      </c>
      <c r="E55" s="3" t="inlineStr">
        <is>
          <t>المختارون</t>
        </is>
      </c>
      <c r="F55" s="3" t="inlineStr">
        <is>
          <t>The Worthy</t>
        </is>
      </c>
      <c r="G55" s="3" t="inlineStr">
        <is>
          <t>2016</t>
        </is>
      </c>
      <c r="H55" s="3" t="inlineStr">
        <is>
          <t>ar</t>
        </is>
      </c>
      <c r="I55" s="3" t="inlineStr"/>
      <c r="J55" s="3" t="n">
        <v>99</v>
      </c>
      <c r="K55" s="5" t="inlineStr">
        <is>
          <t>popularité TMDB : 90 votes</t>
        </is>
      </c>
      <c r="L55" s="5" t="inlineStr">
        <is>
          <t>abonnement : Netflix, Netflix Standard with Ads</t>
        </is>
      </c>
      <c r="M55" s="6" t="inlineStr">
        <is>
          <t>https://www.themoviedb.org/movie/413780</t>
        </is>
      </c>
      <c r="N55" s="6" t="inlineStr">
        <is>
          <t>https://www.themoviedb.org/movie/413780</t>
        </is>
      </c>
      <c r="O55" s="5" t="inlineStr"/>
      <c r="P55" s="5" t="inlineStr">
        <is>
          <t>المختارون (2016, 90 votes)</t>
        </is>
      </c>
      <c r="Q55" s="5" t="inlineStr">
        <is>
          <t>Rattle the Cage (2015)</t>
        </is>
      </c>
      <c r="R55" s="5" t="inlineStr"/>
      <c r="S55" s="5" t="inlineStr">
        <is>
          <t>Aucun record documenté trouvé pour un film émirien en salles. / pas de box-office national suivi ou publié trouvé</t>
        </is>
      </c>
    </row>
    <row r="56">
      <c r="A56" s="3" t="inlineStr">
        <is>
          <t>Équateur</t>
        </is>
      </c>
      <c r="B56" s="3" t="inlineStr">
        <is>
          <t>Amériques</t>
        </is>
      </c>
      <c r="C56" s="7" t="inlineStr">
        <is>
          <t>A</t>
        </is>
      </c>
      <c r="D56" s="3" t="inlineStr">
        <is>
          <t>forte</t>
        </is>
      </c>
      <c r="E56" s="3" t="inlineStr">
        <is>
          <t>Dedicada a mi ex</t>
        </is>
      </c>
      <c r="F56" s="3" t="inlineStr">
        <is>
          <t>Dedicada A Mi Ex</t>
        </is>
      </c>
      <c r="G56" s="3" t="inlineStr">
        <is>
          <t>2019</t>
        </is>
      </c>
      <c r="H56" s="3" t="inlineStr">
        <is>
          <t>es</t>
        </is>
      </c>
      <c r="I56" s="3" t="inlineStr"/>
      <c r="J56" s="3" t="n">
        <v>94</v>
      </c>
      <c r="K56" s="5" t="inlineStr">
        <is>
          <t>entrées : 312 758</t>
        </is>
      </c>
      <c r="L56" s="5" t="inlineStr"/>
      <c r="M56" s="6" t="inlineStr">
        <is>
          <t>https://es.wikipedia.org/wiki/Anexo:Pel%C3%ADculas_de_Ecuador</t>
        </is>
      </c>
      <c r="N56" s="6" t="inlineStr">
        <is>
          <t>https://www.themoviedb.org/movie/644479</t>
        </is>
      </c>
      <c r="O56" s="5" t="inlineStr">
        <is>
          <t>La Tigra (1990), 250 000</t>
        </is>
      </c>
      <c r="P56" s="5" t="inlineStr">
        <is>
          <t>Misfit #EresOTeHaces (2021, 213 votes)</t>
        </is>
      </c>
      <c r="Q56" s="5" t="inlineStr">
        <is>
          <t>Dedicada a mi ex (2019)</t>
        </is>
      </c>
      <c r="R56" s="5" t="inlineStr"/>
      <c r="S56" s="5" t="inlineStr">
        <is>
          <t>Équateur seul ; 522 000 en Amérique latine. Dos para el camino (1981) serait ~500 000 mais sans données fiables. Ambigu.</t>
        </is>
      </c>
    </row>
    <row r="57">
      <c r="A57" s="3" t="inlineStr">
        <is>
          <t>Érythrée</t>
        </is>
      </c>
      <c r="B57" s="3" t="inlineStr">
        <is>
          <t>Afrique</t>
        </is>
      </c>
      <c r="C57" s="9" t="inlineStr">
        <is>
          <t>C</t>
        </is>
      </c>
      <c r="D57" s="3" t="inlineStr">
        <is>
          <t>faible (choix éditorial, pas d'audience)</t>
        </is>
      </c>
      <c r="E57" s="3" t="inlineStr">
        <is>
          <t>ባሩድ</t>
        </is>
      </c>
      <c r="F57" s="3" t="inlineStr">
        <is>
          <t>ባሩድ</t>
        </is>
      </c>
      <c r="G57" s="3" t="inlineStr">
        <is>
          <t>1997</t>
        </is>
      </c>
      <c r="H57" s="3" t="inlineStr">
        <is>
          <t>ti</t>
        </is>
      </c>
      <c r="I57" s="3" t="inlineStr"/>
      <c r="J57" s="3" t="n">
        <v>111</v>
      </c>
      <c r="K57" s="5" t="inlineStr">
        <is>
          <t>choix « native » de Films Around the World</t>
        </is>
      </c>
      <c r="L57" s="5" t="inlineStr"/>
      <c r="M57" s="6" t="inlineStr">
        <is>
          <t>https://filmsaroundthe.world/country/eritrea/films/barud-77-f882991ee7fc593a6/</t>
        </is>
      </c>
      <c r="N57" s="6" t="inlineStr">
        <is>
          <t>https://www.themoviedb.org/movie/662924</t>
        </is>
      </c>
      <c r="O57" s="5" t="inlineStr"/>
      <c r="P57" s="5" t="inlineStr">
        <is>
          <t>ሺኮሪናታት (2006, 0 votes)</t>
        </is>
      </c>
      <c r="Q57" s="5" t="inlineStr">
        <is>
          <t>Barud 77 (1997)</t>
        </is>
      </c>
      <c r="R57" s="5" t="inlineStr"/>
      <c r="S57" s="5" t="inlineStr">
        <is>
          <t>pas de box-office national suivi ou publié trouvé</t>
        </is>
      </c>
    </row>
    <row r="58">
      <c r="A58" s="3" t="inlineStr">
        <is>
          <t>Espagne</t>
        </is>
      </c>
      <c r="B58" s="3" t="inlineStr">
        <is>
          <t>Europe</t>
        </is>
      </c>
      <c r="C58" s="7" t="inlineStr">
        <is>
          <t>A</t>
        </is>
      </c>
      <c r="D58" s="3" t="inlineStr">
        <is>
          <t>bonne</t>
        </is>
      </c>
      <c r="E58" s="3" t="inlineStr">
        <is>
          <t>Ocho apellidos vascos</t>
        </is>
      </c>
      <c r="F58" s="3" t="inlineStr">
        <is>
          <t>Ocho apellidos vascos</t>
        </is>
      </c>
      <c r="G58" s="3" t="inlineStr">
        <is>
          <t>2014</t>
        </is>
      </c>
      <c r="H58" s="3" t="inlineStr">
        <is>
          <t>es</t>
        </is>
      </c>
      <c r="I58" s="3" t="inlineStr"/>
      <c r="J58" s="3" t="n">
        <v>98</v>
      </c>
      <c r="K58" s="5" t="inlineStr">
        <is>
          <t>recettes nationales : 56,2 M EUR</t>
        </is>
      </c>
      <c r="L58" s="5" t="inlineStr"/>
      <c r="M58" s="6" t="inlineStr">
        <is>
          <t>https://en.wikipedia.org/wiki/List_of_highest-grossing_films_in_Spain</t>
        </is>
      </c>
      <c r="N58" s="6" t="inlineStr">
        <is>
          <t>https://www.themoviedb.org/movie/236737</t>
        </is>
      </c>
      <c r="O58" s="5" t="inlineStr">
        <is>
          <t>Ocho apellidos catalanes (2015), 36,1 M EUR</t>
        </is>
      </c>
      <c r="P58" s="5" t="inlineStr">
        <is>
          <t>El hoyo (2019, 8090 votes)</t>
        </is>
      </c>
      <c r="Q58" s="5" t="inlineStr">
        <is>
          <t>Klaus (2019)</t>
        </is>
      </c>
      <c r="R58" s="5" t="inlineStr"/>
      <c r="S58" s="5" t="inlineStr">
        <is>
          <t>Recettes, pas d'entrées dans la source. Lo imposible (2012, 42,4 M EUR) écarté car anglophone.</t>
        </is>
      </c>
    </row>
    <row r="59">
      <c r="A59" s="3" t="inlineStr">
        <is>
          <t>Estonie</t>
        </is>
      </c>
      <c r="B59" s="3" t="inlineStr">
        <is>
          <t>Europe</t>
        </is>
      </c>
      <c r="C59" s="4" t="inlineStr">
        <is>
          <t>B</t>
        </is>
      </c>
      <c r="D59" s="3" t="inlineStr">
        <is>
          <t>moyenne</t>
        </is>
      </c>
      <c r="E59" s="3" t="inlineStr">
        <is>
          <t>Mandariinid</t>
        </is>
      </c>
      <c r="F59" s="3" t="inlineStr">
        <is>
          <t>Mandarines</t>
        </is>
      </c>
      <c r="G59" s="3" t="inlineStr">
        <is>
          <t>2013</t>
        </is>
      </c>
      <c r="H59" s="3" t="inlineStr">
        <is>
          <t>et</t>
        </is>
      </c>
      <c r="I59" s="3" t="inlineStr"/>
      <c r="J59" s="3" t="n">
        <v>87</v>
      </c>
      <c r="K59" s="5" t="inlineStr">
        <is>
          <t>popularité TMDB : 629 votes</t>
        </is>
      </c>
      <c r="L59" s="5" t="inlineStr">
        <is>
          <t>abonnement : Molotov TV ; gratuit pub : Rakuten TV, Plex, Plex Channel ; location : YouTube, Rakuten TV, Amazon Video ; achat : YouTube, Rakuten TV, Canal VOD, Amazon Video</t>
        </is>
      </c>
      <c r="M59" s="6" t="inlineStr">
        <is>
          <t>https://www.themoviedb.org/movie/238628</t>
        </is>
      </c>
      <c r="N59" s="6" t="inlineStr">
        <is>
          <t>https://www.themoviedb.org/movie/238628</t>
        </is>
      </c>
      <c r="O59" s="5" t="inlineStr"/>
      <c r="P59" s="5" t="inlineStr">
        <is>
          <t>Mandariinid (2013, 629 votes)</t>
        </is>
      </c>
      <c r="Q59" s="5" t="inlineStr">
        <is>
          <t>Spring (1970)</t>
        </is>
      </c>
      <c r="R59" s="5" t="inlineStr"/>
      <c r="S59" s="5" t="inlineStr">
        <is>
          <t>Pas de classement post-indépendance trouvé. Viimne reliikvia (1969, Tallinnfilm) a fait 44,9 M d'entrées dans toute l'URSS, pas en Estonie seule. / Pas de classement post-indépendance trouvé.</t>
        </is>
      </c>
    </row>
    <row r="60">
      <c r="A60" s="3" t="inlineStr">
        <is>
          <t>Eswatini</t>
        </is>
      </c>
      <c r="B60" s="3" t="inlineStr">
        <is>
          <t>Afrique</t>
        </is>
      </c>
      <c r="C60" s="9" t="inlineStr">
        <is>
          <t>C</t>
        </is>
      </c>
      <c r="D60" s="3" t="inlineStr">
        <is>
          <t>faible (choix éditorial, pas d'audience)</t>
        </is>
      </c>
      <c r="E60" s="3" t="inlineStr">
        <is>
          <t>Umshana</t>
        </is>
      </c>
      <c r="F60" s="3" t="inlineStr">
        <is>
          <t>Umshana</t>
        </is>
      </c>
      <c r="G60" s="3" t="inlineStr">
        <is>
          <t>2015</t>
        </is>
      </c>
      <c r="H60" s="3" t="inlineStr">
        <is>
          <t>ss</t>
        </is>
      </c>
      <c r="I60" s="3" t="inlineStr"/>
      <c r="J60" s="3" t="n">
        <v>51</v>
      </c>
      <c r="K60" s="5" t="inlineStr">
        <is>
          <t>choix « native » de Films Around the World</t>
        </is>
      </c>
      <c r="L60" s="5" t="inlineStr"/>
      <c r="M60" s="6" t="inlineStr">
        <is>
          <t>https://filmsaroundthe.world/country/swaziland/films/umshana-f5fe397ff4b2cbc4d/</t>
        </is>
      </c>
      <c r="N60" s="6" t="inlineStr">
        <is>
          <t>https://www.themoviedb.org/movie/471232</t>
        </is>
      </c>
      <c r="O60" s="5" t="inlineStr"/>
      <c r="P60" s="5" t="inlineStr">
        <is>
          <t>Wah-Wah (2005, 40 votes)</t>
        </is>
      </c>
      <c r="Q60" s="5" t="inlineStr">
        <is>
          <t>Umshana (2015)</t>
        </is>
      </c>
      <c r="R60" s="5" t="inlineStr"/>
      <c r="S60" s="5" t="inlineStr">
        <is>
          <t>pas de box-office national suivi ou publié trouvé</t>
        </is>
      </c>
    </row>
    <row r="61">
      <c r="A61" s="3" t="inlineStr">
        <is>
          <t>États-Unis</t>
        </is>
      </c>
      <c r="B61" s="3" t="inlineStr">
        <is>
          <t>Amériques</t>
        </is>
      </c>
      <c r="C61" s="7" t="inlineStr">
        <is>
          <t>A</t>
        </is>
      </c>
      <c r="D61" s="3" t="inlineStr">
        <is>
          <t>forte</t>
        </is>
      </c>
      <c r="E61" s="3" t="inlineStr">
        <is>
          <t>Gone with the Wind</t>
        </is>
      </c>
      <c r="F61" s="3" t="inlineStr">
        <is>
          <t>Autant en emporte le vent</t>
        </is>
      </c>
      <c r="G61" s="3" t="inlineStr">
        <is>
          <t>1939</t>
        </is>
      </c>
      <c r="H61" s="3" t="inlineStr">
        <is>
          <t>en</t>
        </is>
      </c>
      <c r="I61" s="3" t="inlineStr"/>
      <c r="J61" s="3" t="n">
        <v>233</v>
      </c>
      <c r="K61" s="5" t="inlineStr">
        <is>
          <t>entrées : &gt; 200 000 000 (estimation, États-Unis et Canada, toutes ressorties)</t>
        </is>
      </c>
      <c r="L61" s="5" t="inlineStr">
        <is>
          <t>location : Apple TV Store, Orange VOD, YouTube, Rakuten TV ; achat : Apple TV Store, Orange VOD, YouTube, Rakuten TV</t>
        </is>
      </c>
      <c r="M61" s="6" t="inlineStr">
        <is>
          <t>https://en.wikipedia.org/wiki/Gone_with_the_Wind_(film)</t>
        </is>
      </c>
      <c r="N61" s="6" t="inlineStr">
        <is>
          <t>https://www.themoviedb.org/movie/770</t>
        </is>
      </c>
      <c r="O61" s="5" t="inlineStr">
        <is>
          <t>non vérifié</t>
        </is>
      </c>
      <c r="P61" s="5" t="inlineStr">
        <is>
          <t>The Avengers (2012, 40120 votes)</t>
        </is>
      </c>
      <c r="Q61" s="5" t="inlineStr">
        <is>
          <t>The Godfather (1972)</t>
        </is>
      </c>
      <c r="R61" s="5" t="inlineStr"/>
      <c r="S61" s="5" t="inlineStr">
        <is>
          <t>Entrées estimées, pas un décompte officiel. Marché États-Unis + Canada confondus. Classement Box Office Mojo ajusté de l'inflation non lu (page vide à la récupération), donc 2e film non relevé.</t>
        </is>
      </c>
    </row>
    <row r="62">
      <c r="A62" s="3" t="inlineStr">
        <is>
          <t>Éthiopie</t>
        </is>
      </c>
      <c r="B62" s="3" t="inlineStr">
        <is>
          <t>Afrique</t>
        </is>
      </c>
      <c r="C62" s="4" t="inlineStr">
        <is>
          <t>B</t>
        </is>
      </c>
      <c r="D62" s="3" t="inlineStr">
        <is>
          <t>moyenne</t>
        </is>
      </c>
      <c r="E62" s="3" t="inlineStr">
        <is>
          <t>Difret</t>
        </is>
      </c>
      <c r="F62" s="3" t="inlineStr">
        <is>
          <t>Difret</t>
        </is>
      </c>
      <c r="G62" s="3" t="inlineStr">
        <is>
          <t>2014</t>
        </is>
      </c>
      <c r="H62" s="3" t="inlineStr">
        <is>
          <t>am</t>
        </is>
      </c>
      <c r="I62" s="3" t="inlineStr"/>
      <c r="J62" s="3" t="n">
        <v>99</v>
      </c>
      <c r="K62" s="5" t="inlineStr">
        <is>
          <t>popularité TMDB : 62 votes</t>
        </is>
      </c>
      <c r="L62" s="5" t="inlineStr">
        <is>
          <t>location : Apple TV Store, Orange VOD, YouTube, Sooner ; achat : Apple TV Store, Orange VOD, YouTube, Sooner</t>
        </is>
      </c>
      <c r="M62" s="6" t="inlineStr">
        <is>
          <t>https://www.themoviedb.org/movie/245855</t>
        </is>
      </c>
      <c r="N62" s="6" t="inlineStr">
        <is>
          <t>https://www.themoviedb.org/movie/245855</t>
        </is>
      </c>
      <c r="O62" s="5" t="inlineStr"/>
      <c r="P62" s="5" t="inlineStr">
        <is>
          <t>Difret (2014, 62 votes)</t>
        </is>
      </c>
      <c r="Q62" s="5" t="inlineStr">
        <is>
          <t>Teza (2008)</t>
        </is>
      </c>
      <c r="R62" s="5" t="inlineStr">
        <is>
          <t>{"title": "Abay vs. Vegas (Abay woys Vegas)", "views": null, "url": "https://www.youtube.com/watch?v=auxKEo4lKwM", "note": "Plusieurs mises en ligne sur YouTube ; ~974K vues affichées à proximité dans la recherche mais attribution à ce film non confirmée."}</t>
        </is>
      </c>
      <c r="S62" s="5" t="inlineStr">
        <is>
          <t>Pas de box-office publié. Theodros Teshome Kebede a produit « deux des films éthiopiens les plus rentables de tous les temps » : Abay vs. Vegas (2010) et Kezkaza Welafegn (PAFF), sans chiffres ni classement entre eux. Lamb (2015) est un film de festival, pas un succès local documenté. / pas de box-office national suivi ou publié trouvé</t>
        </is>
      </c>
    </row>
    <row r="63">
      <c r="A63" s="3" t="inlineStr">
        <is>
          <t>Fidji</t>
        </is>
      </c>
      <c r="B63" s="3" t="inlineStr">
        <is>
          <t>Océanie</t>
        </is>
      </c>
      <c r="C63" s="9" t="inlineStr">
        <is>
          <t>C</t>
        </is>
      </c>
      <c r="D63" s="3" t="inlineStr">
        <is>
          <t>faible (choix éditorial, pas d'audience)</t>
        </is>
      </c>
      <c r="E63" s="3" t="inlineStr">
        <is>
          <t>Pear ta ma 'on maf</t>
        </is>
      </c>
      <c r="F63" s="3" t="inlineStr">
        <is>
          <t>Pear ta ma 'on maf</t>
        </is>
      </c>
      <c r="G63" s="3" t="inlineStr">
        <is>
          <t>2004</t>
        </is>
      </c>
      <c r="H63" s="3" t="inlineStr">
        <is>
          <t>en</t>
        </is>
      </c>
      <c r="I63" s="3" t="inlineStr"/>
      <c r="J63" s="3" t="n">
        <v>87</v>
      </c>
      <c r="K63" s="5" t="inlineStr">
        <is>
          <t>choix « native » de Films Around the World</t>
        </is>
      </c>
      <c r="L63" s="5" t="inlineStr"/>
      <c r="M63" s="6" t="inlineStr">
        <is>
          <t>https://filmsaroundthe.world/country/fiji/films/the-land-has-eyes-fd23656786d5f9c40/</t>
        </is>
      </c>
      <c r="N63" s="6" t="inlineStr">
        <is>
          <t>https://www.themoviedb.org/movie/97107</t>
        </is>
      </c>
      <c r="O63" s="5" t="inlineStr"/>
      <c r="P63" s="5" t="inlineStr">
        <is>
          <t>Bula Quo! (2013, 13 votes)</t>
        </is>
      </c>
      <c r="Q63" s="5" t="inlineStr">
        <is>
          <t>The Land Has Eyes (2004)</t>
        </is>
      </c>
      <c r="R63" s="5" t="inlineStr"/>
      <c r="S63" s="5" t="inlineStr">
        <is>
          <t>No sourced box office data.</t>
        </is>
      </c>
    </row>
    <row r="64">
      <c r="A64" s="3" t="inlineStr">
        <is>
          <t>Finlande</t>
        </is>
      </c>
      <c r="B64" s="3" t="inlineStr">
        <is>
          <t>Europe</t>
        </is>
      </c>
      <c r="C64" s="7" t="inlineStr">
        <is>
          <t>A</t>
        </is>
      </c>
      <c r="D64" s="3" t="inlineStr">
        <is>
          <t>forte</t>
        </is>
      </c>
      <c r="E64" s="3" t="inlineStr">
        <is>
          <t>Tuntematon sotilas</t>
        </is>
      </c>
      <c r="F64" s="3" t="inlineStr">
        <is>
          <t>Soldats inconnus</t>
        </is>
      </c>
      <c r="G64" s="3" t="inlineStr">
        <is>
          <t>1955</t>
        </is>
      </c>
      <c r="H64" s="3" t="inlineStr">
        <is>
          <t>fi</t>
        </is>
      </c>
      <c r="I64" s="3" t="inlineStr"/>
      <c r="J64" s="3" t="n">
        <v>181</v>
      </c>
      <c r="K64" s="5" t="inlineStr">
        <is>
          <t>entrées : 2800000</t>
        </is>
      </c>
      <c r="L64" s="5" t="inlineStr"/>
      <c r="M64" s="6" t="inlineStr">
        <is>
          <t>https://fi.wikipedia.org/wiki/Luettelo_Suomen_katsotuimmista_elokuvista</t>
        </is>
      </c>
      <c r="N64" s="6" t="inlineStr">
        <is>
          <t>https://www.themoviedb.org/movie/36439</t>
        </is>
      </c>
      <c r="O64" s="5" t="inlineStr">
        <is>
          <t>Kulkurin valssi (1941), 1500000</t>
        </is>
      </c>
      <c r="P64" s="5" t="inlineStr">
        <is>
          <t>Sisu (2022, 3019 votes)</t>
        </is>
      </c>
      <c r="Q64" s="5" t="inlineStr">
        <is>
          <t>Sisu (2022)</t>
        </is>
      </c>
      <c r="R64" s="5" t="inlineStr"/>
      <c r="S64" s="5" t="inlineStr">
        <is>
          <t>Chiffre arrondi dans la source.</t>
        </is>
      </c>
    </row>
    <row r="65">
      <c r="A65" s="3" t="inlineStr">
        <is>
          <t>France</t>
        </is>
      </c>
      <c r="B65" s="3" t="inlineStr">
        <is>
          <t>Europe</t>
        </is>
      </c>
      <c r="C65" s="7" t="inlineStr">
        <is>
          <t>A</t>
        </is>
      </c>
      <c r="D65" s="3" t="inlineStr">
        <is>
          <t>forte</t>
        </is>
      </c>
      <c r="E65" s="3" t="inlineStr">
        <is>
          <t>Bienvenue chez les Ch'tis</t>
        </is>
      </c>
      <c r="F65" s="3" t="inlineStr">
        <is>
          <t>Bienvenue chez les Ch'tis</t>
        </is>
      </c>
      <c r="G65" s="3" t="inlineStr">
        <is>
          <t>2008</t>
        </is>
      </c>
      <c r="H65" s="3" t="inlineStr">
        <is>
          <t>fr</t>
        </is>
      </c>
      <c r="I65" s="3" t="inlineStr"/>
      <c r="J65" s="3" t="n">
        <v>107</v>
      </c>
      <c r="K65" s="5" t="inlineStr">
        <is>
          <t>entrées : 20489303</t>
        </is>
      </c>
      <c r="L65" s="5" t="inlineStr">
        <is>
          <t>location : Apple TV Store, Orange VOD, Rakuten TV, Canal VOD ; achat : Apple TV Store, Orange VOD, Rakuten TV, Canal VOD</t>
        </is>
      </c>
      <c r="M65" s="6" t="inlineStr">
        <is>
          <t>https://en.wikipedia.org/wiki/List_of_highest-grossing_films_in_France</t>
        </is>
      </c>
      <c r="N65" s="6" t="inlineStr">
        <is>
          <t>https://www.themoviedb.org/movie/8265</t>
        </is>
      </c>
      <c r="O65" s="5" t="inlineStr">
        <is>
          <t>Intouchables (2011), 19490688</t>
        </is>
      </c>
      <c r="P65" s="5" t="inlineStr">
        <is>
          <t>Intouchables (2011, 18969 votes)</t>
        </is>
      </c>
      <c r="Q65" s="5" t="inlineStr">
        <is>
          <t>The Rules of the Game (1939)</t>
        </is>
      </c>
      <c r="R65" s="5" t="inlineStr"/>
      <c r="S65" s="5" t="inlineStr">
        <is>
          <t>Titanic (US) est devant, écarté.</t>
        </is>
      </c>
    </row>
    <row r="66">
      <c r="A66" s="3" t="inlineStr">
        <is>
          <t>Gabon</t>
        </is>
      </c>
      <c r="B66" s="3" t="inlineStr">
        <is>
          <t>Afrique</t>
        </is>
      </c>
      <c r="C66" s="9" t="inlineStr">
        <is>
          <t>C</t>
        </is>
      </c>
      <c r="D66" s="3" t="inlineStr">
        <is>
          <t>faible (choix éditorial, pas d'audience)</t>
        </is>
      </c>
      <c r="E66" s="3" t="inlineStr">
        <is>
          <t>Dôlè</t>
        </is>
      </c>
      <c r="F66" s="3" t="inlineStr">
        <is>
          <t>Dôlè</t>
        </is>
      </c>
      <c r="G66" s="3" t="inlineStr">
        <is>
          <t>2000</t>
        </is>
      </c>
      <c r="H66" s="3" t="inlineStr">
        <is>
          <t>fr</t>
        </is>
      </c>
      <c r="I66" s="3" t="inlineStr"/>
      <c r="J66" s="3" t="n">
        <v>88</v>
      </c>
      <c r="K66" s="5" t="inlineStr">
        <is>
          <t>choix « native » de Films Around the World</t>
        </is>
      </c>
      <c r="L66" s="5" t="inlineStr"/>
      <c r="M66" s="6" t="inlineStr">
        <is>
          <t>https://filmsaroundthe.world/country/gabon/films/dole-fba1f512c5c2e60e3/</t>
        </is>
      </c>
      <c r="N66" s="6" t="inlineStr">
        <is>
          <t>https://www.themoviedb.org/movie/302057</t>
        </is>
      </c>
      <c r="O66" s="5" t="inlineStr"/>
      <c r="P66" s="5" t="inlineStr">
        <is>
          <t>Dôlè (2000, 8 votes)</t>
        </is>
      </c>
      <c r="Q66" s="5" t="inlineStr">
        <is>
          <t>Dôlè (2000)</t>
        </is>
      </c>
      <c r="R66" s="5" t="inlineStr"/>
      <c r="S66" s="5" t="inlineStr">
        <is>
          <t>pas de box-office national suivi ou publié trouvé</t>
        </is>
      </c>
    </row>
    <row r="67">
      <c r="A67" s="3" t="inlineStr">
        <is>
          <t>Gambie</t>
        </is>
      </c>
      <c r="B67" s="3" t="inlineStr">
        <is>
          <t>Afrique</t>
        </is>
      </c>
      <c r="C67" s="9" t="inlineStr">
        <is>
          <t>C</t>
        </is>
      </c>
      <c r="D67" s="3" t="inlineStr">
        <is>
          <t>faible (choix éditorial, pas d'audience)</t>
        </is>
      </c>
      <c r="E67" s="3" t="inlineStr">
        <is>
          <t>The Hand of Fate</t>
        </is>
      </c>
      <c r="F67" s="3" t="inlineStr">
        <is>
          <t>The Hand of Fate</t>
        </is>
      </c>
      <c r="G67" s="3" t="inlineStr">
        <is>
          <t>2013</t>
        </is>
      </c>
      <c r="H67" s="3" t="inlineStr">
        <is>
          <t>yo</t>
        </is>
      </c>
      <c r="I67" s="3" t="inlineStr"/>
      <c r="J67" s="3" t="n">
        <v>98</v>
      </c>
      <c r="K67" s="5" t="inlineStr">
        <is>
          <t>choix « native » de Films Around the World</t>
        </is>
      </c>
      <c r="L67" s="5" t="inlineStr"/>
      <c r="M67" s="6" t="inlineStr">
        <is>
          <t>https://filmsaroundthe.world/country/gambia/films/hand-of-fate-fda370ae8556f8367/</t>
        </is>
      </c>
      <c r="N67" s="6" t="inlineStr">
        <is>
          <t>https://www.themoviedb.org/movie/757684</t>
        </is>
      </c>
      <c r="O67" s="5" t="inlineStr"/>
      <c r="P67" s="5" t="inlineStr">
        <is>
          <t>The Back Way (2025, 0 votes)</t>
        </is>
      </c>
      <c r="Q67" s="5" t="inlineStr">
        <is>
          <t>Hand of Fate (2013)</t>
        </is>
      </c>
      <c r="R67" s="5" t="inlineStr"/>
      <c r="S67" s="5" t="inlineStr">
        <is>
          <t>pas de box-office national suivi ou publié trouvé</t>
        </is>
      </c>
    </row>
    <row r="68">
      <c r="A68" s="3" t="inlineStr">
        <is>
          <t>Géorgie</t>
        </is>
      </c>
      <c r="B68" s="3" t="inlineStr">
        <is>
          <t>Asie</t>
        </is>
      </c>
      <c r="C68" s="4" t="inlineStr">
        <is>
          <t>B</t>
        </is>
      </c>
      <c r="D68" s="3" t="inlineStr">
        <is>
          <t>moyenne</t>
        </is>
      </c>
      <c r="E68" s="3" t="inlineStr">
        <is>
          <t>რას ვხედავთ, როდესაც ცას ვუყურებთ?</t>
        </is>
      </c>
      <c r="F68" s="3" t="inlineStr">
        <is>
          <t>Sous le ciel de Koutaïssi</t>
        </is>
      </c>
      <c r="G68" s="3" t="inlineStr">
        <is>
          <t>2021</t>
        </is>
      </c>
      <c r="H68" s="3" t="inlineStr">
        <is>
          <t>ka</t>
        </is>
      </c>
      <c r="I68" s="3" t="inlineStr"/>
      <c r="J68" s="3" t="n">
        <v>150</v>
      </c>
      <c r="K68" s="5" t="inlineStr">
        <is>
          <t>popularité TMDB : 70 votes</t>
        </is>
      </c>
      <c r="L68" s="5" t="inlineStr">
        <is>
          <t>location : Apple TV Store, Orange VOD, Canal VOD, Sooner ; achat : Apple TV Store, Orange VOD, Canal VOD, Sooner</t>
        </is>
      </c>
      <c r="M68" s="6" t="inlineStr">
        <is>
          <t>https://www.themoviedb.org/movie/795815</t>
        </is>
      </c>
      <c r="N68" s="6" t="inlineStr">
        <is>
          <t>https://www.themoviedb.org/movie/795815</t>
        </is>
      </c>
      <c r="O68" s="5" t="inlineStr"/>
      <c r="P68" s="5" t="inlineStr">
        <is>
          <t>რას ვხედავთ, როდესაც ცას ვუყურებთ? (2021, 70 votes)</t>
        </is>
      </c>
      <c r="Q68" s="5" t="inlineStr">
        <is>
          <t>Repentance (1987)</t>
        </is>
      </c>
      <c r="R68" s="5" t="inlineStr"/>
      <c r="S68" s="5" t="inlineStr">
        <is>
          <t>Pas de donnée sourcée (aucun classement trouvé). / Only a 2019 record found (Shindisi, 23,722 admissions); 2022-2025 data missing, a later film may exceed it.</t>
        </is>
      </c>
    </row>
    <row r="69">
      <c r="A69" s="3" t="inlineStr">
        <is>
          <t>Ghana</t>
        </is>
      </c>
      <c r="B69" s="3" t="inlineStr">
        <is>
          <t>Afrique</t>
        </is>
      </c>
      <c r="C69" s="9" t="inlineStr">
        <is>
          <t>C</t>
        </is>
      </c>
      <c r="D69" s="3" t="inlineStr">
        <is>
          <t>faible (choix éditorial, pas d'audience)</t>
        </is>
      </c>
      <c r="E69" s="3" t="inlineStr">
        <is>
          <t>Love Brewed in the African Pot</t>
        </is>
      </c>
      <c r="F69" s="3" t="inlineStr">
        <is>
          <t>Love Brewed in the African Pot</t>
        </is>
      </c>
      <c r="G69" s="3" t="inlineStr">
        <is>
          <t>1980</t>
        </is>
      </c>
      <c r="H69" s="3" t="inlineStr">
        <is>
          <t>en</t>
        </is>
      </c>
      <c r="I69" s="3" t="inlineStr"/>
      <c r="J69" s="3" t="n">
        <v>118</v>
      </c>
      <c r="K69" s="5" t="inlineStr">
        <is>
          <t>choix « native » de Films Around the World</t>
        </is>
      </c>
      <c r="L69" s="5" t="inlineStr"/>
      <c r="M69" s="6" t="inlineStr">
        <is>
          <t>https://filmsaroundthe.world/country/ghana/films/love-brewed-in-the-african-pot-f5548f65a585f8708/</t>
        </is>
      </c>
      <c r="N69" s="6" t="inlineStr">
        <is>
          <t>https://www.themoviedb.org/movie/271440</t>
        </is>
      </c>
      <c r="O69" s="5" t="inlineStr"/>
      <c r="P69" s="5" t="inlineStr">
        <is>
          <t>The Burial of Kojo (2018, 27 votes)</t>
        </is>
      </c>
      <c r="Q69" s="5" t="inlineStr">
        <is>
          <t>Love Brewed in the African Pot (1980)</t>
        </is>
      </c>
      <c r="R69" s="5" t="inlineStr">
        <is>
          <t>{"title": null, "views": null, "url": null, "note": "Non trouvé de façon fiable."}</t>
        </is>
      </c>
      <c r="S69" s="5" t="inlineStr">
        <is>
          <t>Pas de box-office local suivi (Box Office Mojo ne liste que des films étrangers). Industrie vidéo (Kumawood, Ghallywood) hors salles. Aucun film national vu en salles documenté. / Pas de box-office suivi trouvé.</t>
        </is>
      </c>
    </row>
    <row r="70">
      <c r="A70" s="3" t="inlineStr">
        <is>
          <t>Grèce</t>
        </is>
      </c>
      <c r="B70" s="3" t="inlineStr">
        <is>
          <t>Europe</t>
        </is>
      </c>
      <c r="C70" s="7" t="inlineStr">
        <is>
          <t>A</t>
        </is>
      </c>
      <c r="D70" s="3" t="inlineStr">
        <is>
          <t>forte</t>
        </is>
      </c>
      <c r="E70" s="3" t="inlineStr">
        <is>
          <t>Πολίτικη κουζίνα</t>
        </is>
      </c>
      <c r="F70" s="3" t="inlineStr">
        <is>
          <t>Un ciel épicé</t>
        </is>
      </c>
      <c r="G70" s="3" t="inlineStr">
        <is>
          <t>2003</t>
        </is>
      </c>
      <c r="H70" s="3" t="inlineStr">
        <is>
          <t>el</t>
        </is>
      </c>
      <c r="I70" s="3" t="inlineStr"/>
      <c r="J70" s="3" t="n">
        <v>108</v>
      </c>
      <c r="K70" s="5" t="inlineStr">
        <is>
          <t>entrées : 1 300 000</t>
        </is>
      </c>
      <c r="L70" s="5" t="inlineStr"/>
      <c r="M70" s="6" t="inlineStr">
        <is>
          <t>https://en.wikipedia.org/wiki/List_of_highest-grossing_Greek_films</t>
        </is>
      </c>
      <c r="N70" s="6" t="inlineStr">
        <is>
          <t>https://www.themoviedb.org/movie/12497</t>
        </is>
      </c>
      <c r="O70" s="5" t="inlineStr">
        <is>
          <t>Loafing and Camouflage: Sirens in the Aegean (2005, 1 230 512)</t>
        </is>
      </c>
      <c r="P70" s="5" t="inlineStr">
        <is>
          <t>Κυνόδοντας (2009, 2718 votes)</t>
        </is>
      </c>
      <c r="Q70" s="5" t="inlineStr">
        <is>
          <t>The Travelling Players (1975)</t>
        </is>
      </c>
      <c r="R70" s="5" t="inlineStr"/>
      <c r="S70" s="5" t="inlineStr">
        <is>
          <t>Selon les sources, entre 1 277 902 et 1 600 000 entrées ; reste 1er dans tous les cas. Safe Sex (1999) et El Greco (2007) tournent autour de 1,2 M.</t>
        </is>
      </c>
    </row>
    <row r="71">
      <c r="A71" s="3" t="inlineStr">
        <is>
          <t>Grenade</t>
        </is>
      </c>
      <c r="B71" s="3" t="inlineStr">
        <is>
          <t>Amériques</t>
        </is>
      </c>
      <c r="C71" s="9" t="inlineStr">
        <is>
          <t>C</t>
        </is>
      </c>
      <c r="D71" s="3" t="inlineStr">
        <is>
          <t>faible (choix éditorial, pas d'audience)</t>
        </is>
      </c>
      <c r="E71" s="3" t="inlineStr">
        <is>
          <t>Blinded</t>
        </is>
      </c>
      <c r="F71" s="3" t="inlineStr">
        <is>
          <t>Blinded</t>
        </is>
      </c>
      <c r="G71" s="3" t="inlineStr">
        <is>
          <t>2006</t>
        </is>
      </c>
      <c r="H71" s="3" t="inlineStr">
        <is>
          <t>en</t>
        </is>
      </c>
      <c r="I71" s="3" t="inlineStr"/>
      <c r="J71" s="3" t="n">
        <v>80</v>
      </c>
      <c r="K71" s="5" t="inlineStr">
        <is>
          <t>choix « native » de Films Around the World</t>
        </is>
      </c>
      <c r="L71" s="5" t="inlineStr"/>
      <c r="M71" s="6" t="inlineStr">
        <is>
          <t>https://filmsaroundthe.world/country/grenada/films/blinded-f99e1c495c64f795e/</t>
        </is>
      </c>
      <c r="N71" s="6" t="inlineStr">
        <is>
          <t>https://www.themoviedb.org/movie/276458</t>
        </is>
      </c>
      <c r="O71" s="5" t="inlineStr"/>
      <c r="P71" s="5" t="inlineStr">
        <is>
          <t>Bottleneck (2014, 2 votes)</t>
        </is>
      </c>
      <c r="Q71" s="5" t="inlineStr">
        <is>
          <t>Blinded (2006)</t>
        </is>
      </c>
      <c r="R71" s="5" t="inlineStr"/>
      <c r="S71" s="5" t="inlineStr">
        <is>
          <t>Aucune donnée sourcée trouvée dans cette passe</t>
        </is>
      </c>
    </row>
    <row r="72">
      <c r="A72" s="3" t="inlineStr">
        <is>
          <t>Guatemala</t>
        </is>
      </c>
      <c r="B72" s="3" t="inlineStr">
        <is>
          <t>Amériques</t>
        </is>
      </c>
      <c r="C72" s="4" t="inlineStr">
        <is>
          <t>B</t>
        </is>
      </c>
      <c r="D72" s="3" t="inlineStr">
        <is>
          <t>moyenne</t>
        </is>
      </c>
      <c r="E72" s="3" t="inlineStr">
        <is>
          <t>La Llorona</t>
        </is>
      </c>
      <c r="F72" s="3" t="inlineStr">
        <is>
          <t>La Llorona</t>
        </is>
      </c>
      <c r="G72" s="3" t="inlineStr">
        <is>
          <t>2019</t>
        </is>
      </c>
      <c r="H72" s="3" t="inlineStr">
        <is>
          <t>es</t>
        </is>
      </c>
      <c r="I72" s="3" t="inlineStr"/>
      <c r="J72" s="3" t="n">
        <v>92</v>
      </c>
      <c r="K72" s="5" t="inlineStr">
        <is>
          <t>popularité TMDB : 387 votes</t>
        </is>
      </c>
      <c r="L72" s="5" t="inlineStr">
        <is>
          <t>location : Apple TV Store, YouTube, Sooner, Amazon Video ; achat : Apple TV Store, YouTube, Sooner, Amazon Video</t>
        </is>
      </c>
      <c r="M72" s="6" t="inlineStr">
        <is>
          <t>https://www.themoviedb.org/movie/617708</t>
        </is>
      </c>
      <c r="N72" s="6" t="inlineStr">
        <is>
          <t>https://www.themoviedb.org/movie/617708</t>
        </is>
      </c>
      <c r="O72" s="5" t="inlineStr"/>
      <c r="P72" s="5" t="inlineStr">
        <is>
          <t>La Llorona (2019, 387 votes)</t>
        </is>
      </c>
      <c r="Q72" s="5" t="inlineStr">
        <is>
          <t>Ixcanul (2015)</t>
        </is>
      </c>
      <c r="R72" s="5" t="inlineStr"/>
      <c r="S72" s="5" t="inlineStr">
        <is>
          <t>Aucun classement historique trouvé. / Aucune donnée sourcée trouvée dans cette passe</t>
        </is>
      </c>
    </row>
    <row r="73">
      <c r="A73" s="3" t="inlineStr">
        <is>
          <t>Guinée</t>
        </is>
      </c>
      <c r="B73" s="3" t="inlineStr">
        <is>
          <t>Afrique</t>
        </is>
      </c>
      <c r="C73" s="9" t="inlineStr">
        <is>
          <t>C</t>
        </is>
      </c>
      <c r="D73" s="3" t="inlineStr">
        <is>
          <t>faible (choix éditorial, pas d'audience)</t>
        </is>
      </c>
      <c r="E73" s="3" t="inlineStr">
        <is>
          <t>L'Absence</t>
        </is>
      </c>
      <c r="F73" s="3" t="inlineStr"/>
      <c r="G73" s="3" t="inlineStr">
        <is>
          <t>2009</t>
        </is>
      </c>
      <c r="H73" s="3" t="inlineStr">
        <is>
          <t>fr</t>
        </is>
      </c>
      <c r="I73" s="3" t="inlineStr"/>
      <c r="J73" s="3" t="inlineStr"/>
      <c r="K73" s="5" t="inlineStr">
        <is>
          <t>choix « native » de Films Around the World</t>
        </is>
      </c>
      <c r="L73" s="5" t="inlineStr"/>
      <c r="M73" s="6" t="inlineStr">
        <is>
          <t>https://filmsaroundthe.world/</t>
        </is>
      </c>
      <c r="N73" s="5" t="inlineStr"/>
      <c r="O73" s="5" t="inlineStr"/>
      <c r="P73" s="5" t="inlineStr">
        <is>
          <t>Konorofili (ou anxiété) (2000, 2 votes)</t>
        </is>
      </c>
      <c r="Q73" s="5" t="inlineStr">
        <is>
          <t>L'Absence (2009)</t>
        </is>
      </c>
      <c r="R73" s="5" t="inlineStr"/>
      <c r="S73" s="5" t="inlineStr">
        <is>
          <t>Film de Mama Keïta. Pas de fiche TMDB fiable trouvée. pas de box-office national suivi ou publié trouvé</t>
        </is>
      </c>
    </row>
    <row r="74">
      <c r="A74" s="3" t="inlineStr">
        <is>
          <t>Guinée-Bissau</t>
        </is>
      </c>
      <c r="B74" s="3" t="inlineStr">
        <is>
          <t>Afrique</t>
        </is>
      </c>
      <c r="C74" s="9" t="inlineStr">
        <is>
          <t>C</t>
        </is>
      </c>
      <c r="D74" s="3" t="inlineStr">
        <is>
          <t>faible (choix éditorial, pas d'audience)</t>
        </is>
      </c>
      <c r="E74" s="3" t="inlineStr">
        <is>
          <t>Udju Azul di Yonta</t>
        </is>
      </c>
      <c r="F74" s="3" t="inlineStr">
        <is>
          <t>Udju Azul di Yonta</t>
        </is>
      </c>
      <c r="G74" s="3" t="inlineStr">
        <is>
          <t>1992</t>
        </is>
      </c>
      <c r="H74" s="3" t="inlineStr">
        <is>
          <t>pt</t>
        </is>
      </c>
      <c r="I74" s="3" t="inlineStr"/>
      <c r="J74" s="3" t="n">
        <v>90</v>
      </c>
      <c r="K74" s="5" t="inlineStr">
        <is>
          <t>choix « native » de Films Around the World</t>
        </is>
      </c>
      <c r="L74" s="5" t="inlineStr"/>
      <c r="M74" s="6" t="inlineStr">
        <is>
          <t>https://filmsaroundthe.world/country/guinea-bissau/films/the-blue-eyes-of-yonta-f76ec3b5b8039d4ec/</t>
        </is>
      </c>
      <c r="N74" s="6" t="inlineStr">
        <is>
          <t>https://www.themoviedb.org/movie/80257</t>
        </is>
      </c>
      <c r="O74" s="5" t="inlineStr"/>
      <c r="P74" s="5" t="inlineStr">
        <is>
          <t>Mortu Nega (1988, 10 votes)</t>
        </is>
      </c>
      <c r="Q74" s="5" t="inlineStr">
        <is>
          <t>The Blue Eyes of Yonta (1992)</t>
        </is>
      </c>
      <c r="R74" s="5" t="inlineStr"/>
      <c r="S74" s="5" t="inlineStr">
        <is>
          <t>pas de box-office national suivi ou publié trouvé</t>
        </is>
      </c>
    </row>
    <row r="75">
      <c r="A75" s="3" t="inlineStr">
        <is>
          <t>Guinée équatoriale</t>
        </is>
      </c>
      <c r="B75" s="3" t="inlineStr">
        <is>
          <t>Afrique</t>
        </is>
      </c>
      <c r="C75" s="9" t="inlineStr">
        <is>
          <t>C</t>
        </is>
      </c>
      <c r="D75" s="3" t="inlineStr">
        <is>
          <t>faible (choix éditorial, pas d'audience)</t>
        </is>
      </c>
      <c r="E75" s="3" t="inlineStr">
        <is>
          <t>Teresa</t>
        </is>
      </c>
      <c r="F75" s="3" t="inlineStr">
        <is>
          <t>Teresa</t>
        </is>
      </c>
      <c r="G75" s="3" t="inlineStr">
        <is>
          <t>2010</t>
        </is>
      </c>
      <c r="H75" s="3" t="inlineStr">
        <is>
          <t>es</t>
        </is>
      </c>
      <c r="I75" s="3" t="inlineStr"/>
      <c r="J75" s="3" t="n">
        <v>34</v>
      </c>
      <c r="K75" s="5" t="inlineStr">
        <is>
          <t>choix « native » de Films Around the World</t>
        </is>
      </c>
      <c r="L75" s="5" t="inlineStr"/>
      <c r="M75" s="6" t="inlineStr">
        <is>
          <t>https://filmsaroundthe.world/country/equatorial-guinea/films/teresa-fccdc5089f8e0b34a/</t>
        </is>
      </c>
      <c r="N75" s="6" t="inlineStr">
        <is>
          <t>https://www.themoviedb.org/movie/345891</t>
        </is>
      </c>
      <c r="O75" s="5" t="inlineStr"/>
      <c r="P75" s="5" t="inlineStr">
        <is>
          <t>Consecuencias (2016, 0 votes)</t>
        </is>
      </c>
      <c r="Q75" s="5" t="inlineStr">
        <is>
          <t>Teresa (2010)</t>
        </is>
      </c>
      <c r="R75" s="5" t="inlineStr"/>
      <c r="S75" s="5" t="inlineStr">
        <is>
          <t>pas de box-office national suivi ou publié trouvé</t>
        </is>
      </c>
    </row>
    <row r="76">
      <c r="A76" s="3" t="inlineStr">
        <is>
          <t>Guyana</t>
        </is>
      </c>
      <c r="B76" s="3" t="inlineStr">
        <is>
          <t>Amériques</t>
        </is>
      </c>
      <c r="C76" s="8" t="inlineStr">
        <is>
          <t>D</t>
        </is>
      </c>
      <c r="D76" s="3" t="inlineStr">
        <is>
          <t>très faible (moins de 50 votes)</t>
        </is>
      </c>
      <c r="E76" s="3" t="inlineStr">
        <is>
          <t>If Wishes Were Horses</t>
        </is>
      </c>
      <c r="F76" s="3" t="inlineStr">
        <is>
          <t>If Wishes Were Horses</t>
        </is>
      </c>
      <c r="G76" s="3" t="inlineStr">
        <is>
          <t>1976</t>
        </is>
      </c>
      <c r="H76" s="3" t="inlineStr">
        <is>
          <t>en</t>
        </is>
      </c>
      <c r="I76" s="3" t="inlineStr"/>
      <c r="J76" s="3" t="n">
        <v>126</v>
      </c>
      <c r="K76" s="5" t="inlineStr">
        <is>
          <t>popularité TMDB : 1 votes</t>
        </is>
      </c>
      <c r="L76" s="5" t="inlineStr"/>
      <c r="M76" s="6" t="inlineStr">
        <is>
          <t>https://www.themoviedb.org/movie/1372879</t>
        </is>
      </c>
      <c r="N76" s="6" t="inlineStr">
        <is>
          <t>https://www.themoviedb.org/movie/1372879</t>
        </is>
      </c>
      <c r="O76" s="5" t="inlineStr"/>
      <c r="P76" s="5" t="inlineStr">
        <is>
          <t>If Wishes Were Horses (1976, 1 votes)</t>
        </is>
      </c>
      <c r="Q76" s="5" t="inlineStr"/>
      <c r="R76" s="5" t="inlineStr"/>
      <c r="S76" s="5" t="inlineStr">
        <is>
          <t>Pas de box-office suivi. / Aucune donnée sourcée trouvée dans cette passe</t>
        </is>
      </c>
    </row>
    <row r="77">
      <c r="A77" s="3" t="inlineStr">
        <is>
          <t>Haïti</t>
        </is>
      </c>
      <c r="B77" s="3" t="inlineStr">
        <is>
          <t>Amériques</t>
        </is>
      </c>
      <c r="C77" s="9" t="inlineStr">
        <is>
          <t>C</t>
        </is>
      </c>
      <c r="D77" s="3" t="inlineStr">
        <is>
          <t>faible (choix éditorial, pas d'audience)</t>
        </is>
      </c>
      <c r="E77" s="3" t="inlineStr">
        <is>
          <t>Haitian Corner</t>
        </is>
      </c>
      <c r="F77" s="3" t="inlineStr">
        <is>
          <t>Haitian Corner</t>
        </is>
      </c>
      <c r="G77" s="3" t="inlineStr">
        <is>
          <t>1987</t>
        </is>
      </c>
      <c r="H77" s="3" t="inlineStr">
        <is>
          <t>ht</t>
        </is>
      </c>
      <c r="I77" s="3" t="inlineStr"/>
      <c r="J77" s="3" t="n">
        <v>98</v>
      </c>
      <c r="K77" s="5" t="inlineStr">
        <is>
          <t>choix « native » de Films Around the World</t>
        </is>
      </c>
      <c r="L77" s="5" t="inlineStr"/>
      <c r="M77" s="6" t="inlineStr">
        <is>
          <t>https://filmsaroundthe.world/country/haiti/films/haitian-corner-f93e81392f65f8fca/</t>
        </is>
      </c>
      <c r="N77" s="6" t="inlineStr">
        <is>
          <t>https://www.themoviedb.org/movie/344654</t>
        </is>
      </c>
      <c r="O77" s="5" t="inlineStr"/>
      <c r="P77" s="5" t="inlineStr">
        <is>
          <t>Kafou (2017, 4 votes)</t>
        </is>
      </c>
      <c r="Q77" s="5" t="inlineStr">
        <is>
          <t>Haitian Corner (1987)</t>
        </is>
      </c>
      <c r="R77" s="5" t="inlineStr"/>
      <c r="S77" s="5" t="inlineStr">
        <is>
          <t>Pas de box-office suivi. / Aucune donnée sourcée trouvée dans cette passe</t>
        </is>
      </c>
    </row>
    <row r="78">
      <c r="A78" s="3" t="inlineStr">
        <is>
          <t>Honduras</t>
        </is>
      </c>
      <c r="B78" s="3" t="inlineStr">
        <is>
          <t>Amériques</t>
        </is>
      </c>
      <c r="C78" s="7" t="inlineStr">
        <is>
          <t>A</t>
        </is>
      </c>
      <c r="D78" s="3" t="inlineStr">
        <is>
          <t>forte</t>
        </is>
      </c>
      <c r="E78" s="3" t="inlineStr">
        <is>
          <t>¿Quién paga la cuenta?</t>
        </is>
      </c>
      <c r="F78" s="3" t="inlineStr">
        <is>
          <t>¿Quién paga la cuenta?</t>
        </is>
      </c>
      <c r="G78" s="3" t="inlineStr">
        <is>
          <t>2013</t>
        </is>
      </c>
      <c r="H78" s="3" t="inlineStr">
        <is>
          <t>es</t>
        </is>
      </c>
      <c r="I78" s="3" t="inlineStr"/>
      <c r="J78" s="3" t="n">
        <v>112</v>
      </c>
      <c r="K78" s="5" t="inlineStr">
        <is>
          <t>entrées : 107 306</t>
        </is>
      </c>
      <c r="L78" s="5" t="inlineStr"/>
      <c r="M78" s="6" t="inlineStr">
        <is>
          <t>https://www.laprensa.hn/honduras/peliculas-hondurenas-taquillera-cinefilos-cine-honduras-quien-paga-la-cuenta-LCLP1166937</t>
        </is>
      </c>
      <c r="N78" s="6" t="inlineStr">
        <is>
          <t>https://www.themoviedb.org/movie/249276</t>
        </is>
      </c>
      <c r="O78" s="5" t="inlineStr">
        <is>
          <t>Una loca Navidad catracha (2014), 92 000</t>
        </is>
      </c>
      <c r="P78" s="5" t="inlineStr">
        <is>
          <t>El Regreso de La Llorona (2021, 37 votes)</t>
        </is>
      </c>
      <c r="Q78" s="5" t="inlineStr">
        <is>
          <t>Morazán (2017)</t>
        </is>
      </c>
      <c r="R78" s="5" t="inlineStr"/>
      <c r="S78" s="5" t="inlineStr"/>
    </row>
    <row r="79">
      <c r="A79" s="3" t="inlineStr">
        <is>
          <t>Hong Kong</t>
        </is>
      </c>
      <c r="B79" s="3" t="inlineStr">
        <is>
          <t>Asie</t>
        </is>
      </c>
      <c r="C79" s="7" t="inlineStr">
        <is>
          <t>A</t>
        </is>
      </c>
      <c r="D79" s="3" t="inlineStr">
        <is>
          <t>bonne</t>
        </is>
      </c>
      <c r="E79" s="3" t="inlineStr">
        <is>
          <t>破・地獄</t>
        </is>
      </c>
      <c r="F79" s="3" t="inlineStr">
        <is>
          <t>La Dernière valse</t>
        </is>
      </c>
      <c r="G79" s="3" t="inlineStr">
        <is>
          <t>2024</t>
        </is>
      </c>
      <c r="H79" s="3" t="inlineStr">
        <is>
          <t>zh</t>
        </is>
      </c>
      <c r="I79" s="3" t="inlineStr"/>
      <c r="J79" s="3" t="n">
        <v>140</v>
      </c>
      <c r="K79" s="5" t="inlineStr">
        <is>
          <t>recettes nationales : HK$157,577,964</t>
        </is>
      </c>
      <c r="L79" s="5" t="inlineStr"/>
      <c r="M79" s="6" t="inlineStr">
        <is>
          <t>https://en.wikipedia.org/wiki/List_of_highest-grossing_films_in_Hong_Kong</t>
        </is>
      </c>
      <c r="N79" s="6" t="inlineStr">
        <is>
          <t>https://www.themoviedb.org/movie/1226141</t>
        </is>
      </c>
      <c r="O79" s="5" t="inlineStr">
        <is>
          <t>A Guilty Conscience (2023, HK$115.06M)</t>
        </is>
      </c>
      <c r="P79" s="5" t="inlineStr">
        <is>
          <t>卧虎藏龍 (2000, 3757 votes)</t>
        </is>
      </c>
      <c r="Q79" s="5" t="inlineStr"/>
      <c r="R79" s="5" t="inlineStr"/>
      <c r="S79" s="5" t="inlineStr">
        <is>
          <t>Cantonese, coded zh.</t>
        </is>
      </c>
    </row>
    <row r="80">
      <c r="A80" s="3" t="inlineStr">
        <is>
          <t>Hongrie</t>
        </is>
      </c>
      <c r="B80" s="3" t="inlineStr">
        <is>
          <t>Europe</t>
        </is>
      </c>
      <c r="C80" s="7" t="inlineStr">
        <is>
          <t>A</t>
        </is>
      </c>
      <c r="D80" s="3" t="inlineStr">
        <is>
          <t>forte</t>
        </is>
      </c>
      <c r="E80" s="3" t="inlineStr">
        <is>
          <t>Hogyan éljek nélküled?</t>
        </is>
      </c>
      <c r="F80" s="3" t="inlineStr">
        <is>
          <t>Hogyan tudnék élni nélküled?</t>
        </is>
      </c>
      <c r="G80" s="3" t="inlineStr">
        <is>
          <t>2024</t>
        </is>
      </c>
      <c r="H80" s="3" t="inlineStr">
        <is>
          <t>hu</t>
        </is>
      </c>
      <c r="I80" s="3" t="inlineStr"/>
      <c r="J80" s="3" t="n">
        <v>105</v>
      </c>
      <c r="K80" s="5" t="inlineStr">
        <is>
          <t>entrées : 1083186</t>
        </is>
      </c>
      <c r="L80" s="5" t="inlineStr"/>
      <c r="M80" s="6" t="inlineStr">
        <is>
          <t>https://hu.wikipedia.org/wiki/Magyar_filmek_n%C3%A9z%C5%91sz%C3%A1m_szerinti_list%C3%A1ja</t>
        </is>
      </c>
      <c r="N80" s="6" t="inlineStr">
        <is>
          <t>https://www.themoviedb.org/movie/1283816</t>
        </is>
      </c>
      <c r="O80" s="5" t="inlineStr">
        <is>
          <t>Gone Running (2024), 739346</t>
        </is>
      </c>
      <c r="P80" s="5" t="inlineStr">
        <is>
          <t>Saul fia (2015, 1202 votes)</t>
        </is>
      </c>
      <c r="Q80" s="5" t="inlineStr">
        <is>
          <t>On Body and Soul (2017)</t>
        </is>
      </c>
      <c r="R80" s="5" t="inlineStr"/>
      <c r="S80" s="5" t="inlineStr">
        <is>
          <t>Depuis 1990 seulement. Titre original et source à revérifier.</t>
        </is>
      </c>
    </row>
    <row r="81">
      <c r="A81" s="3" t="inlineStr">
        <is>
          <t>Île Maurice</t>
        </is>
      </c>
      <c r="B81" s="3" t="inlineStr">
        <is>
          <t>Afrique</t>
        </is>
      </c>
      <c r="C81" s="4" t="inlineStr">
        <is>
          <t>B</t>
        </is>
      </c>
      <c r="D81" s="3" t="inlineStr">
        <is>
          <t>moyenne</t>
        </is>
      </c>
      <c r="E81" s="3" t="inlineStr">
        <is>
          <t>Jungle Beat: The Movie</t>
        </is>
      </c>
      <c r="F81" s="3" t="inlineStr">
        <is>
          <t>Le Rythme de la Jungle</t>
        </is>
      </c>
      <c r="G81" s="3" t="inlineStr">
        <is>
          <t>2020</t>
        </is>
      </c>
      <c r="H81" s="3" t="inlineStr">
        <is>
          <t>en</t>
        </is>
      </c>
      <c r="I81" s="3" t="inlineStr">
        <is>
          <t>oui</t>
        </is>
      </c>
      <c r="J81" s="3" t="n">
        <v>89</v>
      </c>
      <c r="K81" s="5" t="inlineStr">
        <is>
          <t>popularité TMDB : 127 votes</t>
        </is>
      </c>
      <c r="L81" s="5" t="inlineStr">
        <is>
          <t>abonnement : Netflix, Netflix Standard with Ads, SFR Play ; location : Apple TV Store, Orange VOD, YouTube, Amazon Video ; achat : Apple TV Store, Orange VOD, YouTube, Amazon Video</t>
        </is>
      </c>
      <c r="M81" s="6" t="inlineStr">
        <is>
          <t>https://www.themoviedb.org/movie/663459</t>
        </is>
      </c>
      <c r="N81" s="6" t="inlineStr">
        <is>
          <t>https://www.themoviedb.org/movie/663459</t>
        </is>
      </c>
      <c r="O81" s="5" t="inlineStr"/>
      <c r="P81" s="5" t="inlineStr">
        <is>
          <t>Jungle Beat: The Movie (2020, 127 votes)</t>
        </is>
      </c>
      <c r="Q81" s="5" t="inlineStr">
        <is>
          <t>Lonbraz Kann (2014)</t>
        </is>
      </c>
      <c r="R81" s="5" t="inlineStr"/>
      <c r="S81" s="5" t="inlineStr">
        <is>
          <t>pas de box-office national suivi ou publié trouvé</t>
        </is>
      </c>
    </row>
    <row r="82">
      <c r="A82" s="3" t="inlineStr">
        <is>
          <t>Îles du Cap-Vert</t>
        </is>
      </c>
      <c r="B82" s="3" t="inlineStr">
        <is>
          <t>Afrique</t>
        </is>
      </c>
      <c r="C82" s="9" t="inlineStr">
        <is>
          <t>C</t>
        </is>
      </c>
      <c r="D82" s="3" t="inlineStr">
        <is>
          <t>faible (choix éditorial, pas d'audience)</t>
        </is>
      </c>
      <c r="E82" s="3" t="inlineStr">
        <is>
          <t>Hanami</t>
        </is>
      </c>
      <c r="F82" s="3" t="inlineStr">
        <is>
          <t>Hanami</t>
        </is>
      </c>
      <c r="G82" s="3" t="inlineStr">
        <is>
          <t>2024</t>
        </is>
      </c>
      <c r="H82" s="3" t="inlineStr">
        <is>
          <t>pt</t>
        </is>
      </c>
      <c r="I82" s="3" t="inlineStr"/>
      <c r="J82" s="3" t="n">
        <v>96</v>
      </c>
      <c r="K82" s="5" t="inlineStr">
        <is>
          <t>choix « native » de Films Around the World</t>
        </is>
      </c>
      <c r="L82" s="5" t="inlineStr"/>
      <c r="M82" s="6" t="inlineStr">
        <is>
          <t>https://filmsaroundthe.world/country/cabo-verde/films/hanami-f0880c63a9a1e2a7f/</t>
        </is>
      </c>
      <c r="N82" s="6" t="inlineStr">
        <is>
          <t>https://www.themoviedb.org/movie/1315405</t>
        </is>
      </c>
      <c r="O82" s="5" t="inlineStr"/>
      <c r="P82" s="5" t="inlineStr">
        <is>
          <t>Hanami (2025, 9 votes)</t>
        </is>
      </c>
      <c r="Q82" s="5" t="inlineStr">
        <is>
          <t>Hanami (2024)</t>
        </is>
      </c>
      <c r="R82" s="5" t="inlineStr"/>
      <c r="S82" s="5" t="inlineStr">
        <is>
          <t>pas de box-office national suivi ou publié trouvé</t>
        </is>
      </c>
    </row>
    <row r="83">
      <c r="A83" s="3" t="inlineStr">
        <is>
          <t>Îles Marshall</t>
        </is>
      </c>
      <c r="B83" s="3" t="inlineStr">
        <is>
          <t>Océanie</t>
        </is>
      </c>
      <c r="C83" s="9" t="inlineStr">
        <is>
          <t>C</t>
        </is>
      </c>
      <c r="D83" s="3" t="inlineStr">
        <is>
          <t>faible (choix éditorial, pas d'audience)</t>
        </is>
      </c>
      <c r="E83" s="3" t="inlineStr">
        <is>
          <t>Ainikien jidjid ilo boñ</t>
        </is>
      </c>
      <c r="F83" s="3" t="inlineStr">
        <is>
          <t>Ainikien jidjid ilo boñ</t>
        </is>
      </c>
      <c r="G83" s="3" t="inlineStr">
        <is>
          <t>2012</t>
        </is>
      </c>
      <c r="H83" s="3" t="inlineStr">
        <is>
          <t>mh</t>
        </is>
      </c>
      <c r="I83" s="3" t="inlineStr"/>
      <c r="J83" s="3" t="n">
        <v>84</v>
      </c>
      <c r="K83" s="5" t="inlineStr">
        <is>
          <t>choix « native » de Films Around the World</t>
        </is>
      </c>
      <c r="L83" s="5" t="inlineStr"/>
      <c r="M83" s="6" t="inlineStr">
        <is>
          <t>https://filmsaroundthe.world/country/marshall-islands/films/the-sound-of-crickets-at-night-f4460f9847c95abe6/</t>
        </is>
      </c>
      <c r="N83" s="6" t="inlineStr">
        <is>
          <t>https://www.themoviedb.org/movie/274489</t>
        </is>
      </c>
      <c r="O83" s="5" t="inlineStr"/>
      <c r="P83" s="5" t="inlineStr">
        <is>
          <t>Ainikien jidjid ilo boñ (2012, 3 votes)</t>
        </is>
      </c>
      <c r="Q83" s="5" t="inlineStr">
        <is>
          <t>The Sound of Crickets at Night (2012)</t>
        </is>
      </c>
      <c r="R83" s="5" t="inlineStr"/>
      <c r="S83" s="5" t="inlineStr">
        <is>
          <t>No sourced box office data.</t>
        </is>
      </c>
    </row>
    <row r="84">
      <c r="A84" s="3" t="inlineStr">
        <is>
          <t>Îles Salomon</t>
        </is>
      </c>
      <c r="B84" s="3" t="inlineStr">
        <is>
          <t>Océanie</t>
        </is>
      </c>
      <c r="C84" s="8" t="inlineStr">
        <is>
          <t>D</t>
        </is>
      </c>
      <c r="D84" s="3" t="inlineStr">
        <is>
          <t>très faible (moins de 50 votes)</t>
        </is>
      </c>
      <c r="E84" s="3" t="inlineStr">
        <is>
          <t>Juvenile</t>
        </is>
      </c>
      <c r="F84" s="3" t="inlineStr">
        <is>
          <t>Juvenile</t>
        </is>
      </c>
      <c r="G84" s="3" t="inlineStr">
        <is>
          <t>2020</t>
        </is>
      </c>
      <c r="H84" s="3" t="inlineStr">
        <is>
          <t>en</t>
        </is>
      </c>
      <c r="I84" s="3" t="inlineStr"/>
      <c r="J84" s="3" t="n">
        <v>85</v>
      </c>
      <c r="K84" s="5" t="inlineStr">
        <is>
          <t>popularité TMDB : 1 votes</t>
        </is>
      </c>
      <c r="L84" s="5" t="inlineStr"/>
      <c r="M84" s="6" t="inlineStr">
        <is>
          <t>https://www.themoviedb.org/movie/854228</t>
        </is>
      </c>
      <c r="N84" s="6" t="inlineStr">
        <is>
          <t>https://www.themoviedb.org/movie/854228</t>
        </is>
      </c>
      <c r="O84" s="5" t="inlineStr"/>
      <c r="P84" s="5" t="inlineStr">
        <is>
          <t>Juvenile (2020, 1 votes)</t>
        </is>
      </c>
      <c r="Q84" s="5" t="inlineStr"/>
      <c r="R84" s="5" t="inlineStr"/>
      <c r="S84" s="5" t="inlineStr">
        <is>
          <t>No sourced box office data.</t>
        </is>
      </c>
    </row>
    <row r="85">
      <c r="A85" s="3" t="inlineStr">
        <is>
          <t>Inde</t>
        </is>
      </c>
      <c r="B85" s="3" t="inlineStr">
        <is>
          <t>Asie</t>
        </is>
      </c>
      <c r="C85" s="7" t="inlineStr">
        <is>
          <t>A</t>
        </is>
      </c>
      <c r="D85" s="3" t="inlineStr">
        <is>
          <t>bonne</t>
        </is>
      </c>
      <c r="E85" s="3" t="inlineStr">
        <is>
          <t>పుష్ప 2: ది రూల్</t>
        </is>
      </c>
      <c r="F85" s="3" t="inlineStr">
        <is>
          <t>Pushpa: The Rule - Part 2</t>
        </is>
      </c>
      <c r="G85" s="3" t="inlineStr">
        <is>
          <t>2024</t>
        </is>
      </c>
      <c r="H85" s="3" t="inlineStr">
        <is>
          <t>te</t>
        </is>
      </c>
      <c r="I85" s="3" t="inlineStr"/>
      <c r="J85" s="3" t="n">
        <v>225</v>
      </c>
      <c r="K85" s="5" t="inlineStr">
        <is>
          <t>recettes nationales : ≈₹1,234 crore net India, all languages (sacnilk); boxofficeindia: ₹1,287 Cr</t>
        </is>
      </c>
      <c r="L85" s="5" t="inlineStr">
        <is>
          <t>abonnement : Netflix, Netflix Standard with Ads</t>
        </is>
      </c>
      <c r="M85" s="6" t="inlineStr">
        <is>
          <t>https://www.sacnilk.com/entertainmenttopbar/Top_10_Indian_Movies_(India_Net_Collection)</t>
        </is>
      </c>
      <c r="N85" s="6" t="inlineStr">
        <is>
          <t>https://www.themoviedb.org/movie/857598</t>
        </is>
      </c>
      <c r="O85" s="5" t="inlineStr">
        <is>
          <t>Dhurandhar: The Revenge (Hindi, 2026, ≈₹1,149 crore; Wikipedia Hindi-only list ₹1,108.09 crore)</t>
        </is>
      </c>
      <c r="P85" s="5" t="inlineStr">
        <is>
          <t>दिलवाले दुल्हनिया ले जायेंगे (1995, 4635 votes)</t>
        </is>
      </c>
      <c r="Q85" s="5" t="inlineStr">
        <is>
          <t>3 Idiots (2009)</t>
        </is>
      </c>
      <c r="R85" s="5" t="inlineStr"/>
      <c r="S85" s="5" t="inlineStr">
        <is>
          <t>Arbitrage : l'Inde n'a pas un cinéma national unique. Pushpa 2 (télougou) est premier toutes langues confondues, version hindi doublée comprise. En hindi seul : Dhurandhar: The Revenge (2026). Ambiguous: sources conflict, and only Hindi-version tables rank Dhurandhar 2 first. Telugu film, Hindi dub included in the total. Hindi list: https://en.wikipedia.org/wiki/List_of_highest_domestic_net_collection_of_Hindi_films</t>
        </is>
      </c>
    </row>
    <row r="86">
      <c r="A86" s="3" t="inlineStr">
        <is>
          <t>Indonésie</t>
        </is>
      </c>
      <c r="B86" s="3" t="inlineStr">
        <is>
          <t>Asie</t>
        </is>
      </c>
      <c r="C86" s="7" t="inlineStr">
        <is>
          <t>A</t>
        </is>
      </c>
      <c r="D86" s="3" t="inlineStr">
        <is>
          <t>forte</t>
        </is>
      </c>
      <c r="E86" s="3" t="inlineStr">
        <is>
          <t>Agak Laen: Menyala Pantiku!</t>
        </is>
      </c>
      <c r="F86" s="3" t="inlineStr">
        <is>
          <t>Agak Laen: Menyala Pantiku!</t>
        </is>
      </c>
      <c r="G86" s="3" t="inlineStr">
        <is>
          <t>2025</t>
        </is>
      </c>
      <c r="H86" s="3" t="inlineStr">
        <is>
          <t>id</t>
        </is>
      </c>
      <c r="I86" s="3" t="inlineStr"/>
      <c r="J86" s="3" t="n">
        <v>119</v>
      </c>
      <c r="K86" s="5" t="inlineStr">
        <is>
          <t>entrées : 11,000,866</t>
        </is>
      </c>
      <c r="L86" s="5" t="inlineStr"/>
      <c r="M86" s="6" t="inlineStr">
        <is>
          <t>https://en.wikipedia.org/wiki/List_of_highest-grossing_films_in_Indonesia</t>
        </is>
      </c>
      <c r="N86" s="6" t="inlineStr">
        <is>
          <t>https://www.themoviedb.org/movie/1287571</t>
        </is>
      </c>
      <c r="O86" s="5" t="inlineStr">
        <is>
          <t>Jumbo (2025, 10,233,002, animation)</t>
        </is>
      </c>
      <c r="P86" s="5" t="inlineStr">
        <is>
          <t>Serbuan Maut (2012, 4084 votes)</t>
        </is>
      </c>
      <c r="Q86" s="5" t="inlineStr">
        <is>
          <t>The Raid (2011)</t>
        </is>
      </c>
      <c r="R86" s="5" t="inlineStr"/>
      <c r="S86" s="5" t="inlineStr"/>
    </row>
    <row r="87">
      <c r="A87" s="3" t="inlineStr">
        <is>
          <t>Irak</t>
        </is>
      </c>
      <c r="B87" s="3" t="inlineStr">
        <is>
          <t>Moyen-Orient</t>
        </is>
      </c>
      <c r="C87" s="9" t="inlineStr">
        <is>
          <t>C</t>
        </is>
      </c>
      <c r="D87" s="3" t="inlineStr">
        <is>
          <t>faible (choix éditorial, pas d'audience)</t>
        </is>
      </c>
      <c r="E87" s="3" t="inlineStr">
        <is>
          <t>The President's Cake</t>
        </is>
      </c>
      <c r="F87" s="3" t="inlineStr">
        <is>
          <t>Le Gâteau du Président</t>
        </is>
      </c>
      <c r="G87" s="3" t="inlineStr">
        <is>
          <t>2025</t>
        </is>
      </c>
      <c r="H87" s="3" t="inlineStr">
        <is>
          <t>en</t>
        </is>
      </c>
      <c r="I87" s="3" t="inlineStr"/>
      <c r="J87" s="3" t="n">
        <v>106</v>
      </c>
      <c r="K87" s="5" t="inlineStr">
        <is>
          <t>choix « native » de Films Around the World</t>
        </is>
      </c>
      <c r="L87" s="5" t="inlineStr">
        <is>
          <t>location : Apple TV Store, Rakuten TV, Canal VOD, Sooner ; achat : Apple TV Store, Rakuten TV, Canal VOD, Sooner</t>
        </is>
      </c>
      <c r="M87" s="6" t="inlineStr">
        <is>
          <t>https://filmsaroundthe.world/country/iraq/films/the-president-s-cake-fe282b2427bd0bc7e/</t>
        </is>
      </c>
      <c r="N87" s="6" t="inlineStr">
        <is>
          <t>https://www.themoviedb.org/movie/1464883</t>
        </is>
      </c>
      <c r="O87" s="5" t="inlineStr"/>
      <c r="P87" s="5" t="inlineStr">
        <is>
          <t>Bekas (2010, 12 votes)</t>
        </is>
      </c>
      <c r="Q87" s="5" t="inlineStr">
        <is>
          <t>The President's Cake (2025)</t>
        </is>
      </c>
      <c r="R87" s="5" t="inlineStr"/>
      <c r="S87" s="5" t="inlineStr">
        <is>
          <t>Pas de box-office national suivi. Aucun record documenté trouvé. / pas de box-office national suivi ou publié trouvé</t>
        </is>
      </c>
    </row>
    <row r="88">
      <c r="A88" s="3" t="inlineStr">
        <is>
          <t>Iran</t>
        </is>
      </c>
      <c r="B88" s="3" t="inlineStr">
        <is>
          <t>Moyen-Orient</t>
        </is>
      </c>
      <c r="C88" s="7" t="inlineStr">
        <is>
          <t>A</t>
        </is>
      </c>
      <c r="D88" s="3" t="inlineStr">
        <is>
          <t>forte</t>
        </is>
      </c>
      <c r="E88" s="3" t="inlineStr">
        <is>
          <t>هفتاد سی</t>
        </is>
      </c>
      <c r="F88" s="3" t="inlineStr">
        <is>
          <t>۷۰ سی</t>
        </is>
      </c>
      <c r="G88" s="3" t="inlineStr">
        <is>
          <t>2024</t>
        </is>
      </c>
      <c r="H88" s="3" t="inlineStr">
        <is>
          <t>fa</t>
        </is>
      </c>
      <c r="I88" s="3" t="inlineStr"/>
      <c r="J88" s="3" t="n">
        <v>103</v>
      </c>
      <c r="K88" s="5" t="inlineStr">
        <is>
          <t>entrées : 12.00M</t>
        </is>
      </c>
      <c r="L88" s="5" t="inlineStr"/>
      <c r="M88" s="6" t="inlineStr">
        <is>
          <t>https://en.wikipedia.org/wiki/List_of_highest-grossing_Iranian_films</t>
        </is>
      </c>
      <c r="N88" s="6" t="inlineStr">
        <is>
          <t>https://www.themoviedb.org/movie/1354498</t>
        </is>
      </c>
      <c r="O88" s="5" t="inlineStr">
        <is>
          <t>Fossil (2023) 10.81M</t>
        </is>
      </c>
      <c r="P88" s="5" t="inlineStr">
        <is>
          <t>جدایی نادر از سیمین (2011, 2050 votes)</t>
        </is>
      </c>
      <c r="Q88" s="5" t="inlineStr">
        <is>
          <t>A Separation (2011)</t>
        </is>
      </c>
      <c r="R88" s="5" t="inlineStr"/>
      <c r="S88" s="5" t="inlineStr">
        <is>
          <t>Données depuis 1985 seulement. Le texte d'intro de l'article cite Eagles (1985) 10,2 M comme film le plus vu : incohérent avec le tableau, qui donne Seventy Thirty en tête.</t>
        </is>
      </c>
    </row>
    <row r="89">
      <c r="A89" s="3" t="inlineStr">
        <is>
          <t>Irlande</t>
        </is>
      </c>
      <c r="B89" s="3" t="inlineStr">
        <is>
          <t>Europe</t>
        </is>
      </c>
      <c r="C89" s="7" t="inlineStr">
        <is>
          <t>A</t>
        </is>
      </c>
      <c r="D89" s="3" t="inlineStr">
        <is>
          <t>moyenne (record de presse, pas de total d'entrées)</t>
        </is>
      </c>
      <c r="E89" s="3" t="inlineStr">
        <is>
          <t>The Guard</t>
        </is>
      </c>
      <c r="F89" s="3" t="inlineStr">
        <is>
          <t>L'Irlandais</t>
        </is>
      </c>
      <c r="G89" s="3" t="inlineStr">
        <is>
          <t>2011</t>
        </is>
      </c>
      <c r="H89" s="3" t="inlineStr">
        <is>
          <t>en</t>
        </is>
      </c>
      <c r="I89" s="3" t="inlineStr"/>
      <c r="J89" s="3" t="n">
        <v>106</v>
      </c>
      <c r="K89" s="5" t="inlineStr">
        <is>
          <t>film indépendant irlandais le plus rentable au box-office irlandais (presse)</t>
        </is>
      </c>
      <c r="L89" s="5" t="inlineStr">
        <is>
          <t>abonnement : Amazon Prime Video, Amazon Prime Video with Ads ; location : Apple TV Store, Orange VOD, YouTube, Canal VOD ; achat : Apple TV Store, Orange VOD, YouTube, Canal VOD</t>
        </is>
      </c>
      <c r="M89" s="6" t="inlineStr">
        <is>
          <t>https://en.wikipedia.org/wiki/The_Guard_(2011_film)</t>
        </is>
      </c>
      <c r="N89" s="6" t="inlineStr">
        <is>
          <t>https://www.themoviedb.org/movie/67913</t>
        </is>
      </c>
      <c r="O89" s="5" t="inlineStr"/>
      <c r="P89" s="5" t="inlineStr">
        <is>
          <t>Reign of Fire (2002, 2577 votes)</t>
        </is>
      </c>
      <c r="Q89" s="5" t="inlineStr">
        <is>
          <t>Room (2015)</t>
        </is>
      </c>
      <c r="R89" s="5" t="inlineStr"/>
      <c r="S89" s="5" t="inlineStr">
        <is>
          <t>Arbitrage manuel : TMDB proposait Le Règne du feu (production américaine). Mrs. Brown's Boys D'Movie (2014) pourrait être plus haut, sans total domestique trouvé. Pas de total d'entrées ou de recettes irlandaises sourcé. Wikipedia donne The Guard (2011) comme film indépendant irlandais le plus rentable en Irlande, mais Mrs. Brown's Boys D'Movie (2014, record irlandais d'ouverture) est peut-être plus haut. Non tranché. / Pas de chiffre sourcé. Pistes : Mrs. Brown's Boys D'Movie, The Commitments.</t>
        </is>
      </c>
    </row>
    <row r="90">
      <c r="A90" s="3" t="inlineStr">
        <is>
          <t>Islande</t>
        </is>
      </c>
      <c r="B90" s="3" t="inlineStr">
        <is>
          <t>Europe</t>
        </is>
      </c>
      <c r="C90" s="4" t="inlineStr">
        <is>
          <t>B</t>
        </is>
      </c>
      <c r="D90" s="3" t="inlineStr">
        <is>
          <t>moyenne</t>
        </is>
      </c>
      <c r="E90" s="3" t="inlineStr">
        <is>
          <t>Dýrið</t>
        </is>
      </c>
      <c r="F90" s="3" t="inlineStr">
        <is>
          <t>Lamb</t>
        </is>
      </c>
      <c r="G90" s="3" t="inlineStr">
        <is>
          <t>2021</t>
        </is>
      </c>
      <c r="H90" s="3" t="inlineStr">
        <is>
          <t>is</t>
        </is>
      </c>
      <c r="I90" s="3" t="inlineStr"/>
      <c r="J90" s="3" t="n">
        <v>106</v>
      </c>
      <c r="K90" s="5" t="inlineStr">
        <is>
          <t>popularité TMDB : 1100 votes</t>
        </is>
      </c>
      <c r="L90" s="5" t="inlineStr">
        <is>
          <t>abonnement : Shadowz ; location : Orange VOD, YouTube, Rakuten TV, Canal VOD ; achat : Apple TV Store, Orange VOD, YouTube, Rakuten TV</t>
        </is>
      </c>
      <c r="M90" s="6" t="inlineStr">
        <is>
          <t>https://www.themoviedb.org/movie/788929</t>
        </is>
      </c>
      <c r="N90" s="6" t="inlineStr">
        <is>
          <t>https://www.themoviedb.org/movie/788929</t>
        </is>
      </c>
      <c r="O90" s="5" t="inlineStr"/>
      <c r="P90" s="5" t="inlineStr">
        <is>
          <t>Dýrið (2021, 1100 votes)</t>
        </is>
      </c>
      <c r="Q90" s="5" t="inlineStr">
        <is>
          <t>Woman at War (2018)</t>
        </is>
      </c>
      <c r="R90" s="5" t="inlineStr"/>
      <c r="S90" s="5" t="inlineStr">
        <is>
          <t>Seul Eiðurinn (2016, 47 492 entrées) trouvé, rien ne prouve qu'il soit en tête. Aucun classement sourcé. / Seul Eiðurinn (2016, 47492 entrées) trouvé, rien ne prouve qu'il soit en tête.</t>
        </is>
      </c>
    </row>
    <row r="91">
      <c r="A91" s="3" t="inlineStr">
        <is>
          <t>Israël</t>
        </is>
      </c>
      <c r="B91" s="3" t="inlineStr">
        <is>
          <t>Moyen-Orient</t>
        </is>
      </c>
      <c r="C91" s="7" t="inlineStr">
        <is>
          <t>A</t>
        </is>
      </c>
      <c r="D91" s="3" t="inlineStr">
        <is>
          <t>forte</t>
        </is>
      </c>
      <c r="E91" s="3" t="inlineStr">
        <is>
          <t>אסקימו לימון</t>
        </is>
      </c>
      <c r="F91" s="3" t="inlineStr">
        <is>
          <t>Juke Box</t>
        </is>
      </c>
      <c r="G91" s="3" t="inlineStr">
        <is>
          <t>1978</t>
        </is>
      </c>
      <c r="H91" s="3" t="inlineStr">
        <is>
          <t>he</t>
        </is>
      </c>
      <c r="I91" s="3" t="inlineStr"/>
      <c r="J91" s="3" t="n">
        <v>95</v>
      </c>
      <c r="K91" s="5" t="inlineStr">
        <is>
          <t>entrées : 1 350 000</t>
        </is>
      </c>
      <c r="L91" s="5" t="inlineStr"/>
      <c r="M91" s="6" t="inlineStr">
        <is>
          <t>https://en.wikipedia.org/wiki/Lemon_Popsicle</t>
        </is>
      </c>
      <c r="N91" s="6" t="inlineStr">
        <is>
          <t>https://www.themoviedb.org/movie/10580</t>
        </is>
      </c>
      <c r="O91" s="5" t="inlineStr">
        <is>
          <t>Kazablan (1973) 1 222 500 ; Sallah Shabati (1964) 1 184 900</t>
        </is>
      </c>
      <c r="P91" s="5" t="inlineStr">
        <is>
          <t>מי מפחד מהזאב הרע (2013, 439 votes)</t>
        </is>
      </c>
      <c r="Q91" s="5" t="inlineStr">
        <is>
          <t>Gett: The Trial of Viviane Amsalem (2014)</t>
        </is>
      </c>
      <c r="R91" s="5" t="inlineStr"/>
      <c r="S91" s="5" t="inlineStr">
        <is>
          <t>Film ancien, chiffre de billets issu de Wikipedia. Saving Shuli (2021) a annoncé 1 M de billets, sous le record.</t>
        </is>
      </c>
    </row>
    <row r="92">
      <c r="A92" s="3" t="inlineStr">
        <is>
          <t>Italie</t>
        </is>
      </c>
      <c r="B92" s="3" t="inlineStr">
        <is>
          <t>Europe</t>
        </is>
      </c>
      <c r="C92" s="7" t="inlineStr">
        <is>
          <t>A</t>
        </is>
      </c>
      <c r="D92" s="3" t="inlineStr">
        <is>
          <t>forte</t>
        </is>
      </c>
      <c r="E92" s="3" t="inlineStr">
        <is>
          <t>Per un pugno di dollari</t>
        </is>
      </c>
      <c r="F92" s="3" t="inlineStr">
        <is>
          <t>Pour une poignée de dollars</t>
        </is>
      </c>
      <c r="G92" s="3" t="inlineStr">
        <is>
          <t>1964</t>
        </is>
      </c>
      <c r="H92" s="3" t="inlineStr">
        <is>
          <t>it</t>
        </is>
      </c>
      <c r="I92" s="3" t="inlineStr"/>
      <c r="J92" s="3" t="n">
        <v>95</v>
      </c>
      <c r="K92" s="5" t="inlineStr">
        <is>
          <t>entrées : 14 797 275</t>
        </is>
      </c>
      <c r="L92" s="5" t="inlineStr">
        <is>
          <t>location : Apple TV Store, YouTube, Canal VOD ; achat : Apple TV Store, YouTube, Canal VOD</t>
        </is>
      </c>
      <c r="M92" s="6" t="inlineStr">
        <is>
          <t>https://en.wikipedia.org/wiki/List_of_highest-grossing_films_in_Italy</t>
        </is>
      </c>
      <c r="N92" s="6" t="inlineStr">
        <is>
          <t>https://www.themoviedb.org/movie/391</t>
        </is>
      </c>
      <c r="O92" s="5" t="inlineStr">
        <is>
          <t>Continuavano a chiamarlo Trinità (1971), 14 554 172</t>
        </is>
      </c>
      <c r="P92" s="5" t="inlineStr">
        <is>
          <t>La vita è bella (1997, 14339 votes)</t>
        </is>
      </c>
      <c r="Q92" s="5" t="inlineStr">
        <is>
          <t>Cinema Paradiso (1988)</t>
        </is>
      </c>
      <c r="R92" s="5" t="inlineStr"/>
      <c r="S92" s="5" t="inlineStr">
        <is>
          <t>Arbitrage après vérification : coproduction Italie/Espagne/RFA, mais production (Jolly Film) et réalisateur italiens, donc film national italien. Écart très faible avec Trinità. Ambigu : des films plus vus (Guerre et Paix, Dernier tango à Paris) sont écartés pour la langue ou la nationalité.</t>
        </is>
      </c>
    </row>
    <row r="93">
      <c r="A93" s="3" t="inlineStr">
        <is>
          <t>Jamaïque</t>
        </is>
      </c>
      <c r="B93" s="3" t="inlineStr">
        <is>
          <t>Amériques</t>
        </is>
      </c>
      <c r="C93" s="7" t="inlineStr">
        <is>
          <t>A</t>
        </is>
      </c>
      <c r="D93" s="3" t="inlineStr">
        <is>
          <t>bonne</t>
        </is>
      </c>
      <c r="E93" s="3" t="inlineStr">
        <is>
          <t>Third World Cop</t>
        </is>
      </c>
      <c r="F93" s="3" t="inlineStr">
        <is>
          <t>Third World Cop</t>
        </is>
      </c>
      <c r="G93" s="3" t="inlineStr">
        <is>
          <t>1999</t>
        </is>
      </c>
      <c r="H93" s="3" t="inlineStr">
        <is>
          <t>en</t>
        </is>
      </c>
      <c r="I93" s="3" t="inlineStr"/>
      <c r="J93" s="3" t="n">
        <v>98</v>
      </c>
      <c r="K93" s="5" t="inlineStr">
        <is>
          <t>recettes nationales : J$21 million</t>
        </is>
      </c>
      <c r="L93" s="5" t="inlineStr"/>
      <c r="M93" s="6" t="inlineStr">
        <is>
          <t>https://en.wikipedia.org/wiki/Third_World_Cop</t>
        </is>
      </c>
      <c r="N93" s="6" t="inlineStr">
        <is>
          <t>https://www.themoviedb.org/movie/46686</t>
        </is>
      </c>
      <c r="O93" s="5" t="inlineStr">
        <is>
          <t>Dancehall Queen (1997)</t>
        </is>
      </c>
      <c r="P93" s="5" t="inlineStr">
        <is>
          <t>Shottas (2002, 389 votes)</t>
        </is>
      </c>
      <c r="Q93" s="5" t="inlineStr">
        <is>
          <t>The Harder They Come (1972)</t>
        </is>
      </c>
      <c r="R93" s="5" t="inlineStr"/>
      <c r="S93" s="5" t="inlineStr">
        <is>
          <t>A battu le record de Home Alone 2 (étranger).</t>
        </is>
      </c>
    </row>
    <row r="94">
      <c r="A94" s="3" t="inlineStr">
        <is>
          <t>Japon</t>
        </is>
      </c>
      <c r="B94" s="3" t="inlineStr">
        <is>
          <t>Asie</t>
        </is>
      </c>
      <c r="C94" s="7" t="inlineStr">
        <is>
          <t>A</t>
        </is>
      </c>
      <c r="D94" s="3" t="inlineStr">
        <is>
          <t>bonne</t>
        </is>
      </c>
      <c r="E94" s="3" t="inlineStr">
        <is>
          <t>劇場版「鬼滅の刃」無限列車編</t>
        </is>
      </c>
      <c r="F94" s="3" t="inlineStr">
        <is>
          <t>Demon Slayer : Kimetsu no Yaiba - Le film : Le train de l'Infini</t>
        </is>
      </c>
      <c r="G94" s="3" t="inlineStr">
        <is>
          <t>2020</t>
        </is>
      </c>
      <c r="H94" s="3" t="inlineStr">
        <is>
          <t>ja</t>
        </is>
      </c>
      <c r="I94" s="3" t="inlineStr">
        <is>
          <t>oui</t>
        </is>
      </c>
      <c r="J94" s="3" t="n">
        <v>117</v>
      </c>
      <c r="K94" s="5" t="inlineStr">
        <is>
          <t>recettes nationales : ¥40.75bn</t>
        </is>
      </c>
      <c r="L94" s="5" t="inlineStr">
        <is>
          <t>abonnement : Crunchyroll Amazon Channel</t>
        </is>
      </c>
      <c r="M94" s="6" t="inlineStr">
        <is>
          <t>https://en.wikipedia.org/wiki/List_of_highest-grossing_films_in_Japan</t>
        </is>
      </c>
      <c r="N94" s="6" t="inlineStr">
        <is>
          <t>https://www.themoviedb.org/movie/635302</t>
        </is>
      </c>
      <c r="O94" s="5" t="inlineStr">
        <is>
          <t>Demon Slayer: Infinity Castle (2025, ¥40.36bn)</t>
        </is>
      </c>
      <c r="P94" s="5" t="inlineStr">
        <is>
          <t>千と千尋の神隠し (2001, 19092 votes)</t>
        </is>
      </c>
      <c r="Q94" s="5" t="inlineStr">
        <is>
          <t>Grave of the Fireflies (1988)</t>
        </is>
      </c>
      <c r="R94" s="5" t="inlineStr"/>
      <c r="S94" s="5" t="inlineStr">
        <is>
          <t>Very close with the runner-up; Spirited Away is third (¥31.68bn).</t>
        </is>
      </c>
    </row>
    <row r="95">
      <c r="A95" s="3" t="inlineStr">
        <is>
          <t>Jordanie</t>
        </is>
      </c>
      <c r="B95" s="3" t="inlineStr">
        <is>
          <t>Moyen-Orient</t>
        </is>
      </c>
      <c r="C95" s="4" t="inlineStr">
        <is>
          <t>B</t>
        </is>
      </c>
      <c r="D95" s="3" t="inlineStr">
        <is>
          <t>moyenne</t>
        </is>
      </c>
      <c r="E95" s="3" t="inlineStr">
        <is>
          <t>ذيب</t>
        </is>
      </c>
      <c r="F95" s="3" t="inlineStr">
        <is>
          <t>Theeb - La Naissance d'un chef</t>
        </is>
      </c>
      <c r="G95" s="3" t="inlineStr">
        <is>
          <t>2014</t>
        </is>
      </c>
      <c r="H95" s="3" t="inlineStr">
        <is>
          <t>ar</t>
        </is>
      </c>
      <c r="I95" s="3" t="inlineStr"/>
      <c r="J95" s="3" t="n">
        <v>100</v>
      </c>
      <c r="K95" s="5" t="inlineStr">
        <is>
          <t>popularité TMDB : 200 votes</t>
        </is>
      </c>
      <c r="L95" s="5" t="inlineStr">
        <is>
          <t>location : Apple TV Store, Orange VOD, YouTube, Sooner ; achat : Apple TV Store, Orange VOD, YouTube, Canal VOD</t>
        </is>
      </c>
      <c r="M95" s="6" t="inlineStr">
        <is>
          <t>https://www.themoviedb.org/movie/287628</t>
        </is>
      </c>
      <c r="N95" s="6" t="inlineStr">
        <is>
          <t>https://www.themoviedb.org/movie/287628</t>
        </is>
      </c>
      <c r="O95" s="5" t="inlineStr"/>
      <c r="P95" s="5" t="inlineStr">
        <is>
          <t>ذيب (2014, 200 votes)</t>
        </is>
      </c>
      <c r="Q95" s="5" t="inlineStr">
        <is>
          <t>Theeb (2014)</t>
        </is>
      </c>
      <c r="R95" s="5" t="inlineStr"/>
      <c r="S95" s="5" t="inlineStr">
        <is>
          <t>Pas de box-office suivi pour les films jordaniens. Aucun record documenté trouvé. / pas de box-office national suivi ou publié trouvé</t>
        </is>
      </c>
    </row>
    <row r="96">
      <c r="A96" s="3" t="inlineStr">
        <is>
          <t>Kazakhstan</t>
        </is>
      </c>
      <c r="B96" s="3" t="inlineStr">
        <is>
          <t>Asie</t>
        </is>
      </c>
      <c r="C96" s="7" t="inlineStr">
        <is>
          <t>A</t>
        </is>
      </c>
      <c r="D96" s="3" t="inlineStr">
        <is>
          <t>bonne</t>
        </is>
      </c>
      <c r="E96" s="3" t="inlineStr">
        <is>
          <t>Таптым-ау сені</t>
        </is>
      </c>
      <c r="F96" s="3" t="inlineStr">
        <is>
          <t>Таптым-ау сені</t>
        </is>
      </c>
      <c r="G96" s="3" t="inlineStr">
        <is>
          <t>2023</t>
        </is>
      </c>
      <c r="H96" s="3" t="inlineStr">
        <is>
          <t>kk</t>
        </is>
      </c>
      <c r="I96" s="3" t="inlineStr"/>
      <c r="J96" s="3" t="n">
        <v>90</v>
      </c>
      <c r="K96" s="5" t="inlineStr">
        <is>
          <t>recettes nationales : 1,834,702,810 KZT (as of 4 Dec 2025)</t>
        </is>
      </c>
      <c r="L96" s="5" t="inlineStr"/>
      <c r="M96" s="6" t="inlineStr">
        <is>
          <t>https://kinomania.kz/kk/top-10-samyh-kassovyh-filmov-v-istorii-kazahstanskogo-kino/</t>
        </is>
      </c>
      <c r="N96" s="6" t="inlineStr">
        <is>
          <t>https://www.themoviedb.org/movie/1221435</t>
        </is>
      </c>
      <c r="O96" s="5" t="inlineStr">
        <is>
          <t>Ystyk uya (2025, 1,754,600,300 KZT)</t>
        </is>
      </c>
      <c r="P96" s="5" t="inlineStr">
        <is>
          <t>Томирис (2019, 183 votes)</t>
        </is>
      </c>
      <c r="Q96" s="5" t="inlineStr">
        <is>
          <t>The Needle (1989)</t>
        </is>
      </c>
      <c r="R96" s="5" t="inlineStr"/>
      <c r="S96" s="5" t="inlineStr">
        <is>
          <t>Some 2026 films listed only as '1+ млрд ₸', no total; the Kyrgyz film Peyish 2 excluded.</t>
        </is>
      </c>
    </row>
    <row r="97">
      <c r="A97" s="3" t="inlineStr">
        <is>
          <t>Kenya</t>
        </is>
      </c>
      <c r="B97" s="3" t="inlineStr">
        <is>
          <t>Afrique</t>
        </is>
      </c>
      <c r="C97" s="9" t="inlineStr">
        <is>
          <t>C</t>
        </is>
      </c>
      <c r="D97" s="3" t="inlineStr">
        <is>
          <t>faible (choix éditorial, pas d'audience)</t>
        </is>
      </c>
      <c r="E97" s="3" t="inlineStr">
        <is>
          <t>Nairobi Half Life</t>
        </is>
      </c>
      <c r="F97" s="3" t="inlineStr">
        <is>
          <t>Nairobi Half Life</t>
        </is>
      </c>
      <c r="G97" s="3" t="inlineStr">
        <is>
          <t>2012</t>
        </is>
      </c>
      <c r="H97" s="3" t="inlineStr">
        <is>
          <t>sw</t>
        </is>
      </c>
      <c r="I97" s="3" t="inlineStr"/>
      <c r="J97" s="3" t="n">
        <v>96</v>
      </c>
      <c r="K97" s="5" t="inlineStr">
        <is>
          <t>choix « native » de Films Around the World</t>
        </is>
      </c>
      <c r="L97" s="5" t="inlineStr"/>
      <c r="M97" s="6" t="inlineStr">
        <is>
          <t>https://filmsaroundthe.world/country/kenya/films/nairobi-half-life-f7f907c0527196075/</t>
        </is>
      </c>
      <c r="N97" s="6" t="inlineStr">
        <is>
          <t>https://www.themoviedb.org/movie/130737</t>
        </is>
      </c>
      <c r="O97" s="5" t="inlineStr"/>
      <c r="P97" s="5" t="inlineStr">
        <is>
          <t>Nairobi Half Life (2012, 13 votes)</t>
        </is>
      </c>
      <c r="Q97" s="5" t="inlineStr">
        <is>
          <t>Nairobi Half Life (2012)</t>
        </is>
      </c>
      <c r="R97" s="5" t="inlineStr"/>
      <c r="S97" s="5" t="inlineStr">
        <is>
          <t>Pas de box-office national publié. Rafiki (2018) a été le « 2e film kényan le plus rentable de tous les temps » avec 33 000 $ en 7 jours (Attitude, Mail &amp; Guardian) ; le 1er n'est pas nommé dans les sources trouvées. / Pas de box-office national suivi. Rafiki (2018) cité comme 2e film kényan le plus rentable (33 000 $, Mail &amp; Guardian) : classement non sourcé en entier.</t>
        </is>
      </c>
    </row>
    <row r="98">
      <c r="A98" s="3" t="inlineStr">
        <is>
          <t>Kirghizistan</t>
        </is>
      </c>
      <c r="B98" s="3" t="inlineStr">
        <is>
          <t>Asie</t>
        </is>
      </c>
      <c r="C98" s="9" t="inlineStr">
        <is>
          <t>C</t>
        </is>
      </c>
      <c r="D98" s="3" t="inlineStr">
        <is>
          <t>faible (choix éditorial, pas d'audience)</t>
        </is>
      </c>
      <c r="E98" s="3" t="inlineStr">
        <is>
          <t>Белый пароход</t>
        </is>
      </c>
      <c r="F98" s="3" t="inlineStr">
        <is>
          <t>Белый пароход</t>
        </is>
      </c>
      <c r="G98" s="3" t="inlineStr">
        <is>
          <t>1976</t>
        </is>
      </c>
      <c r="H98" s="3" t="inlineStr">
        <is>
          <t>ru</t>
        </is>
      </c>
      <c r="I98" s="3" t="inlineStr"/>
      <c r="J98" s="3" t="n">
        <v>101</v>
      </c>
      <c r="K98" s="5" t="inlineStr">
        <is>
          <t>choix « native » de Films Around the World</t>
        </is>
      </c>
      <c r="L98" s="5" t="inlineStr"/>
      <c r="M98" s="6" t="inlineStr">
        <is>
          <t>https://filmsaroundthe.world/country/kyrgyzstan/films/the-white-ship-faadf3d31c5be3d9e/</t>
        </is>
      </c>
      <c r="N98" s="6" t="inlineStr">
        <is>
          <t>https://www.themoviedb.org/movie/263830</t>
        </is>
      </c>
      <c r="O98" s="5" t="inlineStr"/>
      <c r="P98" s="5" t="inlineStr">
        <is>
          <t>Ala kachuu (2020, 17 votes)</t>
        </is>
      </c>
      <c r="Q98" s="5" t="inlineStr">
        <is>
          <t>The White Ship (1976)</t>
        </is>
      </c>
      <c r="R98" s="5" t="inlineStr"/>
      <c r="S98" s="5" t="inlineStr">
        <is>
          <t>Deux candidats. Kurmanjan Datka (2014) : « highest-grossing domestic film ever » (Hollywood Reporter), ~40 M som attendus (AKIpress, prévision). Beyish enenin tamaninda (2024, Rouslan Akoun) : « a toutes les chances de devenir le plus gros succès de l'histoire du cinéma kirghize, devant Kurmanjan Datka » (Akchabar), meilleur résultat 2024 au Kirghizistan. Dépassement non confirmé. / No sourced figure for the top Kyrgyz film.</t>
        </is>
      </c>
    </row>
    <row r="99">
      <c r="A99" s="3" t="inlineStr">
        <is>
          <t>Kiribati</t>
        </is>
      </c>
      <c r="B99" s="3" t="inlineStr">
        <is>
          <t>Océanie</t>
        </is>
      </c>
      <c r="C99" s="8" t="inlineStr">
        <is>
          <t>D</t>
        </is>
      </c>
      <c r="D99" s="3" t="inlineStr">
        <is>
          <t>très faible (moins de 50 votes)</t>
        </is>
      </c>
      <c r="E99" s="3" t="inlineStr">
        <is>
          <t>Te Maraia</t>
        </is>
      </c>
      <c r="F99" s="3" t="inlineStr">
        <is>
          <t>Te Maraia</t>
        </is>
      </c>
      <c r="G99" s="3" t="inlineStr">
        <is>
          <t>2014</t>
        </is>
      </c>
      <c r="H99" s="3" t="inlineStr">
        <is>
          <t>en</t>
        </is>
      </c>
      <c r="I99" s="3" t="inlineStr"/>
      <c r="J99" s="3" t="n">
        <v>112</v>
      </c>
      <c r="K99" s="5" t="inlineStr">
        <is>
          <t>popularité TMDB : 0 votes</t>
        </is>
      </c>
      <c r="L99" s="5" t="inlineStr"/>
      <c r="M99" s="6" t="inlineStr">
        <is>
          <t>https://www.themoviedb.org/movie/1253339</t>
        </is>
      </c>
      <c r="N99" s="6" t="inlineStr">
        <is>
          <t>https://www.themoviedb.org/movie/1253339</t>
        </is>
      </c>
      <c r="O99" s="5" t="inlineStr"/>
      <c r="P99" s="5" t="inlineStr">
        <is>
          <t>Te Maraia (2014, 0 votes)</t>
        </is>
      </c>
      <c r="Q99" s="5" t="inlineStr"/>
      <c r="R99" s="5" t="inlineStr"/>
      <c r="S99" s="5" t="inlineStr">
        <is>
          <t>No sourced box office data.</t>
        </is>
      </c>
    </row>
    <row r="100">
      <c r="A100" s="3" t="inlineStr">
        <is>
          <t>Kosovo</t>
        </is>
      </c>
      <c r="B100" s="3" t="inlineStr">
        <is>
          <t>Europe</t>
        </is>
      </c>
      <c r="C100" s="9" t="inlineStr">
        <is>
          <t>C</t>
        </is>
      </c>
      <c r="D100" s="3" t="inlineStr">
        <is>
          <t>faible (choix éditorial, pas d'audience)</t>
        </is>
      </c>
      <c r="E100" s="3" t="inlineStr">
        <is>
          <t>Zgjoi</t>
        </is>
      </c>
      <c r="F100" s="3" t="inlineStr">
        <is>
          <t>La Ruche</t>
        </is>
      </c>
      <c r="G100" s="3" t="inlineStr">
        <is>
          <t>2021</t>
        </is>
      </c>
      <c r="H100" s="3" t="inlineStr">
        <is>
          <t>sq</t>
        </is>
      </c>
      <c r="I100" s="3" t="inlineStr"/>
      <c r="J100" s="3" t="n">
        <v>83</v>
      </c>
      <c r="K100" s="5" t="inlineStr">
        <is>
          <t>choix « native » de Films Around the World</t>
        </is>
      </c>
      <c r="L100" s="5" t="inlineStr">
        <is>
          <t>location : Orange VOD, Canal VOD, Sooner, VIVA by videofutur ; achat : Orange VOD, Canal VOD, Sooner, VIVA by videofutur</t>
        </is>
      </c>
      <c r="M100" s="6" t="inlineStr">
        <is>
          <t>https://filmsaroundthe.world/</t>
        </is>
      </c>
      <c r="N100" s="6" t="inlineStr">
        <is>
          <t>https://www.themoviedb.org/movie/776541</t>
        </is>
      </c>
      <c r="O100" s="5" t="inlineStr"/>
      <c r="P100" s="5" t="inlineStr">
        <is>
          <t>Shok (2015, 33 votes)</t>
        </is>
      </c>
      <c r="Q100" s="5" t="inlineStr">
        <is>
          <t>Hive (2021)</t>
        </is>
      </c>
      <c r="R100" s="5" t="inlineStr"/>
      <c r="S100" s="5" t="inlineStr">
        <is>
          <t>Film kosovar de Blerta Basholli, triple prix à Sundance 2021. La recherche par titre anglais tombait sur un homonyme. Pas de donnée sourcée. / Pas de donnée sourcée.</t>
        </is>
      </c>
    </row>
    <row r="101">
      <c r="A101" s="3" t="inlineStr">
        <is>
          <t>Koweït</t>
        </is>
      </c>
      <c r="B101" s="3" t="inlineStr">
        <is>
          <t>Moyen-Orient</t>
        </is>
      </c>
      <c r="C101" s="4" t="inlineStr">
        <is>
          <t>B</t>
        </is>
      </c>
      <c r="D101" s="3" t="inlineStr">
        <is>
          <t>moyenne</t>
        </is>
      </c>
      <c r="E101" s="3" t="inlineStr">
        <is>
          <t>شهر زي العسل</t>
        </is>
      </c>
      <c r="F101" s="3" t="inlineStr">
        <is>
          <t>Drôle de lune de miel</t>
        </is>
      </c>
      <c r="G101" s="3" t="inlineStr">
        <is>
          <t>2024</t>
        </is>
      </c>
      <c r="H101" s="3" t="inlineStr">
        <is>
          <t>ar</t>
        </is>
      </c>
      <c r="I101" s="3" t="inlineStr"/>
      <c r="J101" s="3" t="n">
        <v>100</v>
      </c>
      <c r="K101" s="5" t="inlineStr">
        <is>
          <t>popularité TMDB : 88 votes</t>
        </is>
      </c>
      <c r="L101" s="5" t="inlineStr">
        <is>
          <t>abonnement : Netflix, Netflix Standard with Ads</t>
        </is>
      </c>
      <c r="M101" s="6" t="inlineStr">
        <is>
          <t>https://www.themoviedb.org/movie/1257750</t>
        </is>
      </c>
      <c r="N101" s="6" t="inlineStr">
        <is>
          <t>https://www.themoviedb.org/movie/1257750</t>
        </is>
      </c>
      <c r="O101" s="5" t="inlineStr"/>
      <c r="P101" s="5" t="inlineStr">
        <is>
          <t>شهر زي العسل (2024, 88 votes)</t>
        </is>
      </c>
      <c r="Q101" s="5" t="inlineStr">
        <is>
          <t>The Cruel Sea (1972)</t>
        </is>
      </c>
      <c r="R101" s="5" t="inlineStr"/>
      <c r="S101" s="5" t="inlineStr">
        <is>
          <t>Pas de box-office suivi pour les films koweïtiens. Aucun record documenté trouvé. / pas de box-office national suivi ou publié trouvé</t>
        </is>
      </c>
    </row>
    <row r="102">
      <c r="A102" s="3" t="inlineStr">
        <is>
          <t>Laos</t>
        </is>
      </c>
      <c r="B102" s="3" t="inlineStr">
        <is>
          <t>Asie</t>
        </is>
      </c>
      <c r="C102" s="9" t="inlineStr">
        <is>
          <t>C</t>
        </is>
      </c>
      <c r="D102" s="3" t="inlineStr">
        <is>
          <t>faible (choix éditorial, pas d'audience)</t>
        </is>
      </c>
      <c r="E102" s="3" t="inlineStr">
        <is>
          <t>สะบายดี หลวงพะบาง</t>
        </is>
      </c>
      <c r="F102" s="3" t="inlineStr">
        <is>
          <t>สะบายดี หลวงพะบาง</t>
        </is>
      </c>
      <c r="G102" s="3" t="inlineStr">
        <is>
          <t>2008</t>
        </is>
      </c>
      <c r="H102" s="3" t="inlineStr">
        <is>
          <t>th</t>
        </is>
      </c>
      <c r="I102" s="3" t="inlineStr"/>
      <c r="J102" s="3" t="n">
        <v>93</v>
      </c>
      <c r="K102" s="5" t="inlineStr">
        <is>
          <t>choix « native » de Films Around the World</t>
        </is>
      </c>
      <c r="L102" s="5" t="inlineStr"/>
      <c r="M102" s="6" t="inlineStr">
        <is>
          <t>https://filmsaroundthe.world/country/laos/films/sabaidee-luang-prabang-fd7dcd49f7e0ddc5d/</t>
        </is>
      </c>
      <c r="N102" s="6" t="inlineStr">
        <is>
          <t>https://www.themoviedb.org/movie/54822</t>
        </is>
      </c>
      <c r="O102" s="5" t="inlineStr"/>
      <c r="P102" s="5" t="inlineStr">
        <is>
          <t>ນ້ອງຮັກ (2017, 15 votes)</t>
        </is>
      </c>
      <c r="Q102" s="5" t="inlineStr">
        <is>
          <t>Sabaidee Luang Prabang (2008)</t>
        </is>
      </c>
      <c r="R102" s="5" t="inlineStr"/>
      <c r="S102" s="5" t="inlineStr">
        <is>
          <t>Industrie quasi inexistante, pas de box-office suivi. Sabaidee Luang Prabang (2008) est le premier film privé depuis 1975 ; aucun chiffre trouvé. / No sourced box office data.</t>
        </is>
      </c>
    </row>
    <row r="103">
      <c r="A103" s="3" t="inlineStr">
        <is>
          <t>Lesotho</t>
        </is>
      </c>
      <c r="B103" s="3" t="inlineStr">
        <is>
          <t>Afrique</t>
        </is>
      </c>
      <c r="C103" s="9" t="inlineStr">
        <is>
          <t>C</t>
        </is>
      </c>
      <c r="D103" s="3" t="inlineStr">
        <is>
          <t>faible (choix éditorial, pas d'audience)</t>
        </is>
      </c>
      <c r="E103" s="3" t="inlineStr">
        <is>
          <t>This Is Not a Burial, It's a Resurrection</t>
        </is>
      </c>
      <c r="F103" s="3" t="inlineStr">
        <is>
          <t>L’ Indomptable feu du printemps</t>
        </is>
      </c>
      <c r="G103" s="3" t="inlineStr">
        <is>
          <t>2020</t>
        </is>
      </c>
      <c r="H103" s="3" t="inlineStr">
        <is>
          <t>st</t>
        </is>
      </c>
      <c r="I103" s="3" t="inlineStr"/>
      <c r="J103" s="3" t="n">
        <v>120</v>
      </c>
      <c r="K103" s="5" t="inlineStr">
        <is>
          <t>choix « native » de Films Around the World</t>
        </is>
      </c>
      <c r="L103" s="5" t="inlineStr">
        <is>
          <t>location : Orange VOD, Sooner, Amazon Video, ARTE VOD ; achat : Orange VOD, Canal VOD, Sooner, Amazon Video</t>
        </is>
      </c>
      <c r="M103" s="6" t="inlineStr">
        <is>
          <t>https://filmsaroundthe.world/country/lesotho/films/this-is-not-a-burial-it-s-a-resurrection-fa007522f36567179/</t>
        </is>
      </c>
      <c r="N103" s="6" t="inlineStr">
        <is>
          <t>https://www.themoviedb.org/movie/618208</t>
        </is>
      </c>
      <c r="O103" s="5" t="inlineStr"/>
      <c r="P103" s="5" t="inlineStr">
        <is>
          <t>The Forgotten Kingdom (2013, 3 votes)</t>
        </is>
      </c>
      <c r="Q103" s="5" t="inlineStr">
        <is>
          <t>This Is Not a Burial, It's a Resurrection (2020)</t>
        </is>
      </c>
      <c r="R103" s="5" t="inlineStr"/>
      <c r="S103" s="5" t="inlineStr">
        <is>
          <t>pas de box-office national suivi ou publié trouvé</t>
        </is>
      </c>
    </row>
    <row r="104">
      <c r="A104" s="3" t="inlineStr">
        <is>
          <t>Lettonie</t>
        </is>
      </c>
      <c r="B104" s="3" t="inlineStr">
        <is>
          <t>Europe</t>
        </is>
      </c>
      <c r="C104" s="7" t="inlineStr">
        <is>
          <t>A</t>
        </is>
      </c>
      <c r="D104" s="3" t="inlineStr">
        <is>
          <t>forte</t>
        </is>
      </c>
      <c r="E104" s="3" t="inlineStr">
        <is>
          <t>Straume</t>
        </is>
      </c>
      <c r="F104" s="3" t="inlineStr">
        <is>
          <t>Flow, le chat qui n'avait plus peur de l'eau</t>
        </is>
      </c>
      <c r="G104" s="3" t="inlineStr">
        <is>
          <t>2024</t>
        </is>
      </c>
      <c r="H104" s="3" t="inlineStr">
        <is>
          <t>zxx</t>
        </is>
      </c>
      <c r="I104" s="3" t="inlineStr">
        <is>
          <t>oui</t>
        </is>
      </c>
      <c r="J104" s="3" t="n">
        <v>85</v>
      </c>
      <c r="K104" s="5" t="inlineStr">
        <is>
          <t>entrées : plus de 200 000 (janvier 2025)</t>
        </is>
      </c>
      <c r="L104" s="5" t="inlineStr">
        <is>
          <t>location : Apple TV Store, Orange VOD, YouTube, Rakuten TV ; achat : Apple TV Store, Orange VOD, YouTube, Rakuten TV</t>
        </is>
      </c>
      <c r="M104" s="6" t="inlineStr">
        <is>
          <t>https://en.wikipedia.org/wiki/Cinema_of_Latvia</t>
        </is>
      </c>
      <c r="N104" s="6" t="inlineStr">
        <is>
          <t>https://www.themoviedb.org/movie/823219</t>
        </is>
      </c>
      <c r="O104" s="5" t="inlineStr"/>
      <c r="P104" s="5" t="inlineStr">
        <is>
          <t>Straume (2024, 3119 votes)</t>
        </is>
      </c>
      <c r="Q104" s="5" t="inlineStr">
        <is>
          <t>Flow (2024)</t>
        </is>
      </c>
      <c r="R104" s="5" t="inlineStr"/>
      <c r="S104" s="5" t="inlineStr">
        <is>
          <t>Wikipedia : film le plus vu de l'histoire des salles lettones. 200 000 spectateurs en Lettonie atteints en janvier 2025 (lsm.lv) ; total final non trouvé. Film sans dialogue (langue 'zxx'). Animation, coproduction Lettonie/France/Belgique, réalisateur letton.</t>
        </is>
      </c>
    </row>
    <row r="105">
      <c r="A105" s="3" t="inlineStr">
        <is>
          <t>Liban</t>
        </is>
      </c>
      <c r="B105" s="3" t="inlineStr">
        <is>
          <t>Moyen-Orient</t>
        </is>
      </c>
      <c r="C105" s="4" t="inlineStr">
        <is>
          <t>B</t>
        </is>
      </c>
      <c r="D105" s="3" t="inlineStr">
        <is>
          <t>moyenne</t>
        </is>
      </c>
      <c r="E105" s="3" t="inlineStr">
        <is>
          <t>سكر بنات</t>
        </is>
      </c>
      <c r="F105" s="3" t="inlineStr">
        <is>
          <t>Caramel</t>
        </is>
      </c>
      <c r="G105" s="3" t="inlineStr">
        <is>
          <t>2007</t>
        </is>
      </c>
      <c r="H105" s="3" t="inlineStr">
        <is>
          <t>ar</t>
        </is>
      </c>
      <c r="I105" s="3" t="inlineStr"/>
      <c r="J105" s="3" t="n">
        <v>95</v>
      </c>
      <c r="K105" s="5" t="inlineStr">
        <is>
          <t>popularité TMDB : 256 votes</t>
        </is>
      </c>
      <c r="L105" s="5" t="inlineStr">
        <is>
          <t>location : Orange VOD, Canal VOD, Sooner, Amazon Video ; achat : Orange VOD, Canal VOD, Sooner, Amazon Video</t>
        </is>
      </c>
      <c r="M105" s="6" t="inlineStr">
        <is>
          <t>https://www.themoviedb.org/movie/7973</t>
        </is>
      </c>
      <c r="N105" s="6" t="inlineStr">
        <is>
          <t>https://www.themoviedb.org/movie/7973</t>
        </is>
      </c>
      <c r="O105" s="5" t="inlineStr"/>
      <c r="P105" s="5" t="inlineStr">
        <is>
          <t>سكر بنات (2007, 256 votes)</t>
        </is>
      </c>
      <c r="Q105" s="5" t="inlineStr">
        <is>
          <t>Capernaum (2018)</t>
        </is>
      </c>
      <c r="R105" s="5" t="inlineStr"/>
      <c r="S105" s="5" t="inlineStr">
        <is>
          <t>Pas de classement national publié. Candidats : Where Do We Go Now? (27 807 entrées en ouverture sur 8 écrans, 64 200 cumulées après deux semaines, Screen Daily) et Capharnaüm (2018, « plus gros succès libanais de 2018 » seulement). What About Tomorrow? (2016, captation d'une pièce de Ziad Rahbani) était « attendu comme plus gros succès libanais » (Deadline) mais n'est pas une fiction classique. Aucun chiffre final. / Pas de chiffre national sourcé. Candidats : Capharnaüm (2018, Labaki) cité comme n°1 du box-office libanais 2018 (post Facebook Academy Cinemas) ; What About Tomorrow? (2016) a battu des records locaux (Deadline, 22/01/2016) ; Fakebook (2026) passé n°1 d'après Instagram. Non tranché.</t>
        </is>
      </c>
    </row>
    <row r="106">
      <c r="A106" s="3" t="inlineStr">
        <is>
          <t>Liberia</t>
        </is>
      </c>
      <c r="B106" s="3" t="inlineStr">
        <is>
          <t>Afrique</t>
        </is>
      </c>
      <c r="C106" s="9" t="inlineStr">
        <is>
          <t>C</t>
        </is>
      </c>
      <c r="D106" s="3" t="inlineStr">
        <is>
          <t>faible (choix éditorial, pas d'audience)</t>
        </is>
      </c>
      <c r="E106" s="3" t="inlineStr">
        <is>
          <t>Murder in the Cassava Patch</t>
        </is>
      </c>
      <c r="F106" s="3" t="inlineStr">
        <is>
          <t>Murder in the Cassava Patch</t>
        </is>
      </c>
      <c r="G106" s="3" t="inlineStr">
        <is>
          <t>2012</t>
        </is>
      </c>
      <c r="H106" s="3" t="inlineStr">
        <is>
          <t>en</t>
        </is>
      </c>
      <c r="I106" s="3" t="inlineStr"/>
      <c r="J106" s="3" t="n">
        <v>75</v>
      </c>
      <c r="K106" s="5" t="inlineStr">
        <is>
          <t>choix « native » de Films Around the World</t>
        </is>
      </c>
      <c r="L106" s="5" t="inlineStr"/>
      <c r="M106" s="6" t="inlineStr">
        <is>
          <t>https://filmsaroundthe.world/</t>
        </is>
      </c>
      <c r="N106" s="6" t="inlineStr">
        <is>
          <t>https://www.themoviedb.org/movie/442185</t>
        </is>
      </c>
      <c r="O106" s="5" t="inlineStr"/>
      <c r="P106" s="5" t="inlineStr">
        <is>
          <t>Johnny Mad Dog (2008, 67 votes)</t>
        </is>
      </c>
      <c r="Q106" s="5" t="inlineStr">
        <is>
          <t>Murder in the Cassava Patch (2012)</t>
        </is>
      </c>
      <c r="R106" s="5" t="inlineStr"/>
      <c r="S106" s="5" t="inlineStr">
        <is>
          <t>Arbitrage manuel : TMDB proposait Johnny Mad Dog, production française. pas de box-office national suivi ou publié trouvé</t>
        </is>
      </c>
    </row>
    <row r="107">
      <c r="A107" s="3" t="inlineStr">
        <is>
          <t>Libye</t>
        </is>
      </c>
      <c r="B107" s="3" t="inlineStr">
        <is>
          <t>Afrique</t>
        </is>
      </c>
      <c r="C107" s="8" t="inlineStr">
        <is>
          <t>D</t>
        </is>
      </c>
      <c r="D107" s="3" t="inlineStr">
        <is>
          <t>très faible (moins de 50 votes)</t>
        </is>
      </c>
      <c r="E107" s="3" t="inlineStr">
        <is>
          <t>Prisoner and Jailer</t>
        </is>
      </c>
      <c r="F107" s="3" t="inlineStr">
        <is>
          <t>Prisonnier et geôlier</t>
        </is>
      </c>
      <c r="G107" s="3" t="inlineStr">
        <is>
          <t>2019</t>
        </is>
      </c>
      <c r="H107" s="3" t="inlineStr">
        <is>
          <t>ar</t>
        </is>
      </c>
      <c r="I107" s="3" t="inlineStr"/>
      <c r="J107" s="3" t="n">
        <v>15</v>
      </c>
      <c r="K107" s="5" t="inlineStr">
        <is>
          <t>popularité TMDB : 4 votes</t>
        </is>
      </c>
      <c r="L107" s="5" t="inlineStr"/>
      <c r="M107" s="6" t="inlineStr">
        <is>
          <t>https://www.themoviedb.org/movie/642483</t>
        </is>
      </c>
      <c r="N107" s="6" t="inlineStr">
        <is>
          <t>https://www.themoviedb.org/movie/642483</t>
        </is>
      </c>
      <c r="O107" s="5" t="inlineStr"/>
      <c r="P107" s="5" t="inlineStr">
        <is>
          <t>Prisoner and Jailer (2019, 4 votes)</t>
        </is>
      </c>
      <c r="Q107" s="5" t="inlineStr">
        <is>
          <t>Freedom Fields (2018)</t>
        </is>
      </c>
      <c r="R107" s="5" t="inlineStr"/>
      <c r="S107" s="5" t="inlineStr">
        <is>
          <t>pas de box-office national suivi ou publié trouvé</t>
        </is>
      </c>
    </row>
    <row r="108">
      <c r="A108" s="3" t="inlineStr">
        <is>
          <t>Liechtenstein</t>
        </is>
      </c>
      <c r="B108" s="3" t="inlineStr">
        <is>
          <t>Europe</t>
        </is>
      </c>
      <c r="C108" s="9" t="inlineStr">
        <is>
          <t>C</t>
        </is>
      </c>
      <c r="D108" s="3" t="inlineStr">
        <is>
          <t>faible (choix éditorial, pas d'audience)</t>
        </is>
      </c>
      <c r="E108" s="3" t="inlineStr">
        <is>
          <t>Kinder der Berge</t>
        </is>
      </c>
      <c r="F108" s="3" t="inlineStr">
        <is>
          <t>Kinder der Berge</t>
        </is>
      </c>
      <c r="G108" s="3" t="inlineStr">
        <is>
          <t>1958</t>
        </is>
      </c>
      <c r="H108" s="3" t="inlineStr">
        <is>
          <t>de</t>
        </is>
      </c>
      <c r="I108" s="3" t="inlineStr"/>
      <c r="J108" s="3" t="n">
        <v>99</v>
      </c>
      <c r="K108" s="5" t="inlineStr">
        <is>
          <t>choix « native » de Films Around the World</t>
        </is>
      </c>
      <c r="L108" s="5" t="inlineStr"/>
      <c r="M108" s="6" t="inlineStr">
        <is>
          <t>https://filmsaroundthe.world/country/liechtenstein/films/children-of-the-mountains-f88071c06690dc900/</t>
        </is>
      </c>
      <c r="N108" s="6" t="inlineStr">
        <is>
          <t>https://www.themoviedb.org/movie/314947</t>
        </is>
      </c>
      <c r="O108" s="5" t="inlineStr"/>
      <c r="P108" s="5" t="inlineStr">
        <is>
          <t>Kinder der Berge (1958, 1 votes)</t>
        </is>
      </c>
      <c r="Q108" s="5" t="inlineStr">
        <is>
          <t>Children of the Mountains (1958)</t>
        </is>
      </c>
      <c r="R108" s="5" t="inlineStr"/>
      <c r="S108" s="5" t="inlineStr">
        <is>
          <t>Pas d'industrie nationale.</t>
        </is>
      </c>
    </row>
    <row r="109">
      <c r="A109" s="3" t="inlineStr">
        <is>
          <t>Lituanie</t>
        </is>
      </c>
      <c r="B109" s="3" t="inlineStr">
        <is>
          <t>Europe</t>
        </is>
      </c>
      <c r="C109" s="7" t="inlineStr">
        <is>
          <t>A</t>
        </is>
      </c>
      <c r="D109" s="3" t="inlineStr">
        <is>
          <t>forte</t>
        </is>
      </c>
      <c r="E109" s="3" t="inlineStr">
        <is>
          <t>Pietinia kronika</t>
        </is>
      </c>
      <c r="F109" s="3" t="inlineStr">
        <is>
          <t>Pietinia Kronikas</t>
        </is>
      </c>
      <c r="G109" s="3" t="inlineStr">
        <is>
          <t>2025</t>
        </is>
      </c>
      <c r="H109" s="3" t="inlineStr">
        <is>
          <t>lt</t>
        </is>
      </c>
      <c r="I109" s="3" t="inlineStr"/>
      <c r="J109" s="3" t="n">
        <v>120</v>
      </c>
      <c r="K109" s="5" t="inlineStr">
        <is>
          <t>entrées : 260 775 sur le seul 3e week-end (total cumulé non trouvé)</t>
        </is>
      </c>
      <c r="L109" s="5" t="inlineStr"/>
      <c r="M109" s="6" t="inlineStr">
        <is>
          <t>https://en.wikipedia.org/wiki/The_Southern_Chronicles</t>
        </is>
      </c>
      <c r="N109" s="6" t="inlineStr">
        <is>
          <t>https://www.themoviedb.org/movie/1252855</t>
        </is>
      </c>
      <c r="O109" s="5" t="inlineStr"/>
      <c r="P109" s="5" t="inlineStr">
        <is>
          <t>Tu man nieko neprimeni (2023, 50 votes)</t>
        </is>
      </c>
      <c r="Q109" s="5" t="inlineStr">
        <is>
          <t>Feelings (1968)</t>
        </is>
      </c>
      <c r="R109" s="5" t="inlineStr"/>
      <c r="S109" s="5" t="inlineStr">
        <is>
          <t>Wikipedia : plus gros succès lituanien de l'histoire, 1er du box-office 2025 en Lituanie. Sortie 24/01/2025 (festival nov. 2024). Premier week-end : 57 948 entrées, 453 455 EUR. Pas de cumul sourcé, pas de deuxième.</t>
        </is>
      </c>
    </row>
    <row r="110">
      <c r="A110" s="3" t="inlineStr">
        <is>
          <t>Luxembourg</t>
        </is>
      </c>
      <c r="B110" s="3" t="inlineStr">
        <is>
          <t>Europe</t>
        </is>
      </c>
      <c r="C110" s="9" t="inlineStr">
        <is>
          <t>C</t>
        </is>
      </c>
      <c r="D110" s="3" t="inlineStr">
        <is>
          <t>faible (choix éditorial, pas d'audience)</t>
        </is>
      </c>
      <c r="E110" s="3" t="inlineStr">
        <is>
          <t>Baby(a)lone</t>
        </is>
      </c>
      <c r="F110" s="3" t="inlineStr">
        <is>
          <t>Baby(a)lone</t>
        </is>
      </c>
      <c r="G110" s="3" t="inlineStr">
        <is>
          <t>2015</t>
        </is>
      </c>
      <c r="H110" s="3" t="inlineStr">
        <is>
          <t>lb</t>
        </is>
      </c>
      <c r="I110" s="3" t="inlineStr"/>
      <c r="J110" s="3" t="n">
        <v>90</v>
      </c>
      <c r="K110" s="5" t="inlineStr">
        <is>
          <t>choix « native » de Films Around the World</t>
        </is>
      </c>
      <c r="L110" s="5" t="inlineStr"/>
      <c r="M110" s="6" t="inlineStr">
        <is>
          <t>https://filmsaroundthe.world/country/luxembourg/films/baby-a-lone-f0e976aa6d7ac0ecd/</t>
        </is>
      </c>
      <c r="N110" s="6" t="inlineStr">
        <is>
          <t>https://www.themoviedb.org/movie/330847</t>
        </is>
      </c>
      <c r="O110" s="5" t="inlineStr"/>
      <c r="P110" s="5" t="inlineStr"/>
      <c r="Q110" s="5" t="inlineStr">
        <is>
          <t>Baby(a)lone (2015)</t>
        </is>
      </c>
      <c r="R110" s="5" t="inlineStr"/>
      <c r="S110" s="5" t="inlineStr">
        <is>
          <t>Pas de donnée sourcée. / Pas de donnée sourcée.</t>
        </is>
      </c>
    </row>
    <row r="111">
      <c r="A111" s="3" t="inlineStr">
        <is>
          <t>Macédoine du Nord</t>
        </is>
      </c>
      <c r="B111" s="3" t="inlineStr">
        <is>
          <t>Europe</t>
        </is>
      </c>
      <c r="C111" s="7" t="inlineStr">
        <is>
          <t>A</t>
        </is>
      </c>
      <c r="D111" s="3" t="inlineStr">
        <is>
          <t>forte</t>
        </is>
      </c>
      <c r="E111" s="3" t="inlineStr">
        <is>
          <t>Бал-Кан-Кан</t>
        </is>
      </c>
      <c r="F111" s="3" t="inlineStr">
        <is>
          <t>Bal-Can-Can</t>
        </is>
      </c>
      <c r="G111" s="3" t="inlineStr">
        <is>
          <t>2005</t>
        </is>
      </c>
      <c r="H111" s="3" t="inlineStr">
        <is>
          <t>mk</t>
        </is>
      </c>
      <c r="I111" s="3" t="inlineStr"/>
      <c r="J111" s="3" t="n">
        <v>89</v>
      </c>
      <c r="K111" s="5" t="inlineStr">
        <is>
          <t>entrées : plus de 500 000 (première année)</t>
        </is>
      </c>
      <c r="L111" s="5" t="inlineStr"/>
      <c r="M111" s="6" t="inlineStr">
        <is>
          <t>https://en.wikipedia.org/wiki/Cinema_of_North_Macedonia</t>
        </is>
      </c>
      <c r="N111" s="6" t="inlineStr">
        <is>
          <t>https://www.themoviedb.org/movie/57218</t>
        </is>
      </c>
      <c r="O111" s="5" t="inlineStr"/>
      <c r="P111" s="5" t="inlineStr">
        <is>
          <t>Диџеј Ахмет (2025, 47 votes)</t>
        </is>
      </c>
      <c r="Q111" s="5" t="inlineStr">
        <is>
          <t>Before the Rain (1994)</t>
        </is>
      </c>
      <c r="R111" s="5" t="inlineStr"/>
      <c r="S111" s="5" t="inlineStr">
        <is>
          <t>Source faible : une phrase Wikipedia 'highest-grossing feature film in North Macedonia', sans classement ni deuxième. À prendre avec prudence.</t>
        </is>
      </c>
    </row>
    <row r="112">
      <c r="A112" s="3" t="inlineStr">
        <is>
          <t>Madagascar</t>
        </is>
      </c>
      <c r="B112" s="3" t="inlineStr">
        <is>
          <t>Afrique</t>
        </is>
      </c>
      <c r="C112" s="9" t="inlineStr">
        <is>
          <t>C</t>
        </is>
      </c>
      <c r="D112" s="3" t="inlineStr">
        <is>
          <t>faible (choix éditorial, pas d'audience)</t>
        </is>
      </c>
      <c r="E112" s="3" t="inlineStr">
        <is>
          <t>Tabataba</t>
        </is>
      </c>
      <c r="F112" s="3" t="inlineStr">
        <is>
          <t>Tabataba</t>
        </is>
      </c>
      <c r="G112" s="3" t="inlineStr">
        <is>
          <t>1989</t>
        </is>
      </c>
      <c r="H112" s="3" t="inlineStr">
        <is>
          <t>mg</t>
        </is>
      </c>
      <c r="I112" s="3" t="inlineStr"/>
      <c r="J112" s="3" t="n">
        <v>76</v>
      </c>
      <c r="K112" s="5" t="inlineStr">
        <is>
          <t>choix « native » de Films Around the World</t>
        </is>
      </c>
      <c r="L112" s="5" t="inlineStr"/>
      <c r="M112" s="6" t="inlineStr">
        <is>
          <t>https://filmsaroundthe.world/country/madagascar/films/tabataba-f670d6d0801fbea65/</t>
        </is>
      </c>
      <c r="N112" s="6" t="inlineStr">
        <is>
          <t>https://www.themoviedb.org/movie/266418</t>
        </is>
      </c>
      <c r="O112" s="5" t="inlineStr"/>
      <c r="P112" s="5" t="inlineStr">
        <is>
          <t>Quand les étoiles rencontrent la mer (1996, 3 votes)</t>
        </is>
      </c>
      <c r="Q112" s="5" t="inlineStr">
        <is>
          <t>Tabataba (1989)</t>
        </is>
      </c>
      <c r="R112" s="5" t="inlineStr"/>
      <c r="S112" s="5" t="inlineStr">
        <is>
          <t>pas de box-office national suivi ou publié trouvé</t>
        </is>
      </c>
    </row>
    <row r="113">
      <c r="A113" s="3" t="inlineStr">
        <is>
          <t>Malaisie</t>
        </is>
      </c>
      <c r="B113" s="3" t="inlineStr">
        <is>
          <t>Asie</t>
        </is>
      </c>
      <c r="C113" s="7" t="inlineStr">
        <is>
          <t>A</t>
        </is>
      </c>
      <c r="D113" s="3" t="inlineStr">
        <is>
          <t>bonne</t>
        </is>
      </c>
      <c r="E113" s="3" t="inlineStr">
        <is>
          <t>Mat Kilau: Kebangkitan Pahlawan</t>
        </is>
      </c>
      <c r="F113" s="3" t="inlineStr">
        <is>
          <t>Mat Kilau: Kebangkitan Pahlawan</t>
        </is>
      </c>
      <c r="G113" s="3" t="inlineStr">
        <is>
          <t>2022</t>
        </is>
      </c>
      <c r="H113" s="3" t="inlineStr">
        <is>
          <t>ms</t>
        </is>
      </c>
      <c r="I113" s="3" t="inlineStr"/>
      <c r="J113" s="3" t="n">
        <v>117</v>
      </c>
      <c r="K113" s="5" t="inlineStr">
        <is>
          <t>recettes nationales : RM97,420,000</t>
        </is>
      </c>
      <c r="L113" s="5" t="inlineStr">
        <is>
          <t>abonnement : Netflix, Netflix Standard with Ads</t>
        </is>
      </c>
      <c r="M113" s="6" t="inlineStr">
        <is>
          <t>https://en.wikipedia.org/wiki/List_of_highest-grossing_films_in_Malaysia</t>
        </is>
      </c>
      <c r="N113" s="6" t="inlineStr">
        <is>
          <t>https://www.themoviedb.org/movie/988595</t>
        </is>
      </c>
      <c r="O113" s="5" t="inlineStr">
        <is>
          <t>Blood Brothers: Bara Naga (2025, RM76M)</t>
        </is>
      </c>
      <c r="P113" s="5" t="inlineStr">
        <is>
          <t>Don't Look at the Demon (2022, 104 votes)</t>
        </is>
      </c>
      <c r="Q113" s="5" t="inlineStr">
        <is>
          <t>PASKAL (2018)</t>
        </is>
      </c>
      <c r="R113" s="5" t="inlineStr"/>
      <c r="S113" s="5" t="inlineStr"/>
    </row>
    <row r="114">
      <c r="A114" s="3" t="inlineStr">
        <is>
          <t>Malawi</t>
        </is>
      </c>
      <c r="B114" s="3" t="inlineStr">
        <is>
          <t>Afrique</t>
        </is>
      </c>
      <c r="C114" s="9" t="inlineStr">
        <is>
          <t>C</t>
        </is>
      </c>
      <c r="D114" s="3" t="inlineStr">
        <is>
          <t>faible (choix éditorial, pas d'audience)</t>
        </is>
      </c>
      <c r="E114" s="3" t="inlineStr">
        <is>
          <t>The Road to Sunrise</t>
        </is>
      </c>
      <c r="F114" s="3" t="inlineStr">
        <is>
          <t>The Road to Sunrise</t>
        </is>
      </c>
      <c r="G114" s="3" t="inlineStr">
        <is>
          <t>2017</t>
        </is>
      </c>
      <c r="H114" s="3" t="inlineStr">
        <is>
          <t>en</t>
        </is>
      </c>
      <c r="I114" s="3" t="inlineStr"/>
      <c r="J114" s="3" t="n">
        <v>130</v>
      </c>
      <c r="K114" s="5" t="inlineStr">
        <is>
          <t>choix « native » de Films Around the World</t>
        </is>
      </c>
      <c r="L114" s="5" t="inlineStr"/>
      <c r="M114" s="6" t="inlineStr">
        <is>
          <t>https://filmsaroundthe.world/</t>
        </is>
      </c>
      <c r="N114" s="6" t="inlineStr">
        <is>
          <t>https://www.themoviedb.org/movie/505061</t>
        </is>
      </c>
      <c r="O114" s="5" t="inlineStr"/>
      <c r="P114" s="5" t="inlineStr">
        <is>
          <t>The Boy Who Harnessed the Wind (2019, 1934 votes)</t>
        </is>
      </c>
      <c r="Q114" s="5" t="inlineStr">
        <is>
          <t>The Road to Sunrise (2017)</t>
        </is>
      </c>
      <c r="R114" s="5" t="inlineStr"/>
      <c r="S114" s="5" t="inlineStr">
        <is>
          <t>Arbitrage manuel : TMDB proposait Le Garçon qui dompta le vent, production britannique (C. Ejiofor), tournée au Malawi. pas de box-office national suivi ou publié trouvé</t>
        </is>
      </c>
    </row>
    <row r="115">
      <c r="A115" s="3" t="inlineStr">
        <is>
          <t>Maldives</t>
        </is>
      </c>
      <c r="B115" s="3" t="inlineStr">
        <is>
          <t>Asie</t>
        </is>
      </c>
      <c r="C115" s="9" t="inlineStr">
        <is>
          <t>C</t>
        </is>
      </c>
      <c r="D115" s="3" t="inlineStr">
        <is>
          <t>faible (choix éditorial, pas d'audience)</t>
        </is>
      </c>
      <c r="E115" s="3" t="inlineStr">
        <is>
          <t>ދެރިޔާ</t>
        </is>
      </c>
      <c r="F115" s="3" t="inlineStr">
        <is>
          <t>ދެރިޔާ</t>
        </is>
      </c>
      <c r="G115" s="3" t="inlineStr">
        <is>
          <t>1994</t>
        </is>
      </c>
      <c r="H115" s="3" t="inlineStr">
        <is>
          <t>dv</t>
        </is>
      </c>
      <c r="I115" s="3" t="inlineStr"/>
      <c r="J115" s="3" t="n">
        <v>194</v>
      </c>
      <c r="K115" s="5" t="inlineStr">
        <is>
          <t>choix « native » de Films Around the World</t>
        </is>
      </c>
      <c r="L115" s="5" t="inlineStr"/>
      <c r="M115" s="6" t="inlineStr">
        <is>
          <t>https://filmsaroundthe.world/country/maldives/films/dheriyaa-fd7325e081b004662/</t>
        </is>
      </c>
      <c r="N115" s="6" t="inlineStr">
        <is>
          <t>https://www.themoviedb.org/movie/470973</t>
        </is>
      </c>
      <c r="O115" s="5" t="inlineStr"/>
      <c r="P115" s="5" t="inlineStr">
        <is>
          <t>Samra (2026, 1 votes)</t>
        </is>
      </c>
      <c r="Q115" s="5" t="inlineStr">
        <is>
          <t>Dheriyaa (1994)</t>
        </is>
      </c>
      <c r="R115" s="5" t="inlineStr"/>
      <c r="S115" s="5" t="inlineStr">
        <is>
          <t>No sourced box office data.</t>
        </is>
      </c>
    </row>
    <row r="116">
      <c r="A116" s="3" t="inlineStr">
        <is>
          <t>Mali</t>
        </is>
      </c>
      <c r="B116" s="3" t="inlineStr">
        <is>
          <t>Afrique</t>
        </is>
      </c>
      <c r="C116" s="9" t="inlineStr">
        <is>
          <t>C</t>
        </is>
      </c>
      <c r="D116" s="3" t="inlineStr">
        <is>
          <t>faible (choix éditorial, pas d'audience)</t>
        </is>
      </c>
      <c r="E116" s="3" t="inlineStr">
        <is>
          <t>Yeelen</t>
        </is>
      </c>
      <c r="F116" s="3" t="inlineStr">
        <is>
          <t>Yeelen</t>
        </is>
      </c>
      <c r="G116" s="3" t="inlineStr">
        <is>
          <t>1987</t>
        </is>
      </c>
      <c r="H116" s="3" t="inlineStr">
        <is>
          <t>bm</t>
        </is>
      </c>
      <c r="I116" s="3" t="inlineStr"/>
      <c r="J116" s="3" t="n">
        <v>105</v>
      </c>
      <c r="K116" s="5" t="inlineStr">
        <is>
          <t>choix « native » de Films Around the World</t>
        </is>
      </c>
      <c r="L116" s="5" t="inlineStr">
        <is>
          <t>location : LaCinetek ; achat : LaCinetek</t>
        </is>
      </c>
      <c r="M116" s="6" t="inlineStr">
        <is>
          <t>https://filmsaroundthe.world/country/mali/films/yeelen-f64ddce36d2fa08fa/</t>
        </is>
      </c>
      <c r="N116" s="6" t="inlineStr">
        <is>
          <t>https://www.themoviedb.org/movie/71329</t>
        </is>
      </c>
      <c r="O116" s="5" t="inlineStr"/>
      <c r="P116" s="5" t="inlineStr">
        <is>
          <t>Taafé Fanga (1997, 6 votes)</t>
        </is>
      </c>
      <c r="Q116" s="5" t="inlineStr">
        <is>
          <t>Yeelen (1987)</t>
        </is>
      </c>
      <c r="R116" s="5" t="inlineStr"/>
      <c r="S116" s="5" t="inlineStr">
        <is>
          <t>pas de box-office national suivi ou publié trouvé</t>
        </is>
      </c>
    </row>
    <row r="117">
      <c r="A117" s="3" t="inlineStr">
        <is>
          <t>Malte</t>
        </is>
      </c>
      <c r="B117" s="3" t="inlineStr">
        <is>
          <t>Europe</t>
        </is>
      </c>
      <c r="C117" s="4" t="inlineStr">
        <is>
          <t>B</t>
        </is>
      </c>
      <c r="D117" s="3" t="inlineStr">
        <is>
          <t>moyenne</t>
        </is>
      </c>
      <c r="E117" s="3" t="inlineStr">
        <is>
          <t>The Boat</t>
        </is>
      </c>
      <c r="F117" s="3" t="inlineStr">
        <is>
          <t>The Boat</t>
        </is>
      </c>
      <c r="G117" s="3" t="inlineStr">
        <is>
          <t>2019</t>
        </is>
      </c>
      <c r="H117" s="3" t="inlineStr">
        <is>
          <t>en</t>
        </is>
      </c>
      <c r="I117" s="3" t="inlineStr"/>
      <c r="J117" s="3" t="n">
        <v>100</v>
      </c>
      <c r="K117" s="5" t="inlineStr">
        <is>
          <t>popularité TMDB : 146 votes</t>
        </is>
      </c>
      <c r="L117" s="5" t="inlineStr">
        <is>
          <t>location : Apple TV Store, Rakuten TV, Canal VOD, Sooner ; achat : Apple TV Store, YouTube, Rakuten TV, Canal VOD</t>
        </is>
      </c>
      <c r="M117" s="6" t="inlineStr">
        <is>
          <t>https://www.themoviedb.org/movie/543915</t>
        </is>
      </c>
      <c r="N117" s="6" t="inlineStr">
        <is>
          <t>https://www.themoviedb.org/movie/543915</t>
        </is>
      </c>
      <c r="O117" s="5" t="inlineStr"/>
      <c r="P117" s="5" t="inlineStr">
        <is>
          <t>The Boat (2019, 146 votes)</t>
        </is>
      </c>
      <c r="Q117" s="5" t="inlineStr">
        <is>
          <t>Luzzu (2021)</t>
        </is>
      </c>
      <c r="R117" s="5" t="inlineStr"/>
      <c r="S117" s="5" t="inlineStr">
        <is>
          <t>Pas de donnée sourcée. / Pas de donnée sourcée.</t>
        </is>
      </c>
    </row>
    <row r="118">
      <c r="A118" s="3" t="inlineStr">
        <is>
          <t>Maroc</t>
        </is>
      </c>
      <c r="B118" s="3" t="inlineStr">
        <is>
          <t>Afrique</t>
        </is>
      </c>
      <c r="C118" s="7" t="inlineStr">
        <is>
          <t>A</t>
        </is>
      </c>
      <c r="D118" s="3" t="inlineStr">
        <is>
          <t>forte</t>
        </is>
      </c>
      <c r="E118" s="3" t="inlineStr">
        <is>
          <t>جوج رواح (Jouj Rouah)</t>
        </is>
      </c>
      <c r="F118" s="3" t="inlineStr"/>
      <c r="G118" s="3" t="inlineStr">
        <is>
          <t>2026</t>
        </is>
      </c>
      <c r="H118" s="3" t="inlineStr">
        <is>
          <t>ar</t>
        </is>
      </c>
      <c r="I118" s="3" t="inlineStr"/>
      <c r="J118" s="3" t="inlineStr"/>
      <c r="K118" s="5" t="inlineStr">
        <is>
          <t>entrées : 500 000+ (annoncé par le CCM)</t>
        </is>
      </c>
      <c r="L118" s="5" t="inlineStr"/>
      <c r="M118" s="6" t="inlineStr">
        <is>
          <t>https://www.lodj.ma/Jouj-Rouah-depasse-le-cap-des-500-000-spectateurs-et-marque-un-tournant-dans-l-histoire-du-cinema-marocain_a175135.html</t>
        </is>
      </c>
      <c r="N118" s="5" t="inlineStr"/>
      <c r="O118" s="5" t="inlineStr">
        <is>
          <t>La Route vers Kaboul (2012) ~410 000 entrées</t>
        </is>
      </c>
      <c r="P118" s="5" t="inlineStr">
        <is>
          <t>Casanegra (2008, 19 votes)</t>
        </is>
      </c>
      <c r="Q118" s="5" t="inlineStr">
        <is>
          <t>Wechma (1970)</t>
        </is>
      </c>
      <c r="R118" s="5" t="inlineStr"/>
      <c r="S118" s="5" t="inlineStr">
        <is>
          <t>Réal. Alaa Akaaboune, darija. Chiffre arrondi, film encore en salles au moment des articles ; Le Bleu du caftan dépasse 500 000 entrées mondiales mais pas au Maroc.</t>
        </is>
      </c>
    </row>
    <row r="119">
      <c r="A119" s="3" t="inlineStr">
        <is>
          <t>Mauritanie</t>
        </is>
      </c>
      <c r="B119" s="3" t="inlineStr">
        <is>
          <t>Afrique</t>
        </is>
      </c>
      <c r="C119" s="9" t="inlineStr">
        <is>
          <t>C</t>
        </is>
      </c>
      <c r="D119" s="3" t="inlineStr">
        <is>
          <t>faible (choix éditorial, pas d'audience)</t>
        </is>
      </c>
      <c r="E119" s="3" t="inlineStr">
        <is>
          <t>Heremakono</t>
        </is>
      </c>
      <c r="F119" s="3" t="inlineStr">
        <is>
          <t>En attendant le bonheur</t>
        </is>
      </c>
      <c r="G119" s="3" t="inlineStr">
        <is>
          <t>2002</t>
        </is>
      </c>
      <c r="H119" s="3" t="inlineStr">
        <is>
          <t>fr</t>
        </is>
      </c>
      <c r="I119" s="3" t="inlineStr"/>
      <c r="J119" s="3" t="n">
        <v>91</v>
      </c>
      <c r="K119" s="5" t="inlineStr">
        <is>
          <t>choix « native » de Films Around the World</t>
        </is>
      </c>
      <c r="L119" s="5" t="inlineStr"/>
      <c r="M119" s="6" t="inlineStr">
        <is>
          <t>https://filmsaroundthe.world/country/mauritania/films/waiting-for-happiness-fe84e424ab94278cf/</t>
        </is>
      </c>
      <c r="N119" s="6" t="inlineStr">
        <is>
          <t>https://www.themoviedb.org/movie/47226</t>
        </is>
      </c>
      <c r="O119" s="5" t="inlineStr"/>
      <c r="P119" s="5" t="inlineStr">
        <is>
          <t>Le jeu (1991, 8 votes)</t>
        </is>
      </c>
      <c r="Q119" s="5" t="inlineStr">
        <is>
          <t>Waiting for Happiness (2002)</t>
        </is>
      </c>
      <c r="R119" s="5" t="inlineStr"/>
      <c r="S119" s="5" t="inlineStr">
        <is>
          <t>pas de box-office national suivi ou publié trouvé</t>
        </is>
      </c>
    </row>
    <row r="120">
      <c r="A120" s="3" t="inlineStr">
        <is>
          <t>Mexique</t>
        </is>
      </c>
      <c r="B120" s="3" t="inlineStr">
        <is>
          <t>Amériques</t>
        </is>
      </c>
      <c r="C120" s="7" t="inlineStr">
        <is>
          <t>A</t>
        </is>
      </c>
      <c r="D120" s="3" t="inlineStr">
        <is>
          <t>forte</t>
        </is>
      </c>
      <c r="E120" s="3" t="inlineStr">
        <is>
          <t>No se aceptan devoluciones</t>
        </is>
      </c>
      <c r="F120" s="3" t="inlineStr">
        <is>
          <t>Ni repris ni échangé</t>
        </is>
      </c>
      <c r="G120" s="3" t="inlineStr">
        <is>
          <t>2013</t>
        </is>
      </c>
      <c r="H120" s="3" t="inlineStr">
        <is>
          <t>es</t>
        </is>
      </c>
      <c r="I120" s="3" t="inlineStr"/>
      <c r="J120" s="3" t="n">
        <v>117</v>
      </c>
      <c r="K120" s="5" t="inlineStr">
        <is>
          <t>entrées : 15 201 188</t>
        </is>
      </c>
      <c r="L120" s="5" t="inlineStr">
        <is>
          <t>abonnement : Amazon Prime Video, Molotov TV, Amazon Prime Video with Ads ; location : Apple TV Store, Orange VOD, YouTube ; achat : Apple TV Store, Orange VOD, YouTube</t>
        </is>
      </c>
      <c r="M120" s="6" t="inlineStr">
        <is>
          <t>https://en.wikipedia.org/wiki/List_of_highest-grossing_Mexican_films</t>
        </is>
      </c>
      <c r="N120" s="6" t="inlineStr">
        <is>
          <t>https://www.themoviedb.org/movie/211954</t>
        </is>
      </c>
      <c r="O120" s="5" t="inlineStr">
        <is>
          <t>Nosotros los Nobles (2013), 7 136 680</t>
        </is>
      </c>
      <c r="P120" s="5" t="inlineStr">
        <is>
          <t>El laberinto del fauno (2006, 11849 votes)</t>
        </is>
      </c>
      <c r="Q120" s="5" t="inlineStr">
        <is>
          <t>Roma (2018)</t>
        </is>
      </c>
      <c r="R120" s="5" t="inlineStr"/>
      <c r="S120" s="5" t="inlineStr">
        <is>
          <t>Recettes 600 377 842 MXN. Liste Wikipedia basée sur les données IMCINE.</t>
        </is>
      </c>
    </row>
    <row r="121">
      <c r="A121" s="3" t="inlineStr">
        <is>
          <t>Micronésie</t>
        </is>
      </c>
      <c r="B121" s="3" t="inlineStr">
        <is>
          <t>Océanie</t>
        </is>
      </c>
      <c r="C121" s="10" t="inlineStr">
        <is>
          <t>-</t>
        </is>
      </c>
      <c r="D121" s="3" t="inlineStr">
        <is>
          <t>aucun film trouvé</t>
        </is>
      </c>
      <c r="E121" s="3" t="inlineStr"/>
      <c r="F121" s="3" t="inlineStr"/>
      <c r="G121" s="3" t="inlineStr"/>
      <c r="H121" s="3" t="inlineStr"/>
      <c r="I121" s="3" t="inlineStr"/>
      <c r="J121" s="3" t="inlineStr"/>
      <c r="K121" s="5" t="inlineStr"/>
      <c r="L121" s="5" t="inlineStr"/>
      <c r="M121" s="5" t="inlineStr"/>
      <c r="N121" s="5" t="inlineStr"/>
      <c r="O121" s="5" t="inlineStr"/>
      <c r="P121" s="5" t="inlineStr"/>
      <c r="Q121" s="5" t="inlineStr"/>
      <c r="R121" s="5" t="inlineStr"/>
      <c r="S121" s="5" t="inlineStr">
        <is>
          <t>No sourced box office data.</t>
        </is>
      </c>
    </row>
    <row r="122">
      <c r="A122" s="3" t="inlineStr">
        <is>
          <t>Moldavie</t>
        </is>
      </c>
      <c r="B122" s="3" t="inlineStr">
        <is>
          <t>Europe</t>
        </is>
      </c>
      <c r="C122" s="7" t="inlineStr">
        <is>
          <t>A</t>
        </is>
      </c>
      <c r="D122" s="3" t="inlineStr">
        <is>
          <t>forte</t>
        </is>
      </c>
      <c r="E122" s="3" t="inlineStr">
        <is>
          <t>Carbon</t>
        </is>
      </c>
      <c r="F122" s="3" t="inlineStr">
        <is>
          <t>Carbon</t>
        </is>
      </c>
      <c r="G122" s="3" t="inlineStr">
        <is>
          <t>2022</t>
        </is>
      </c>
      <c r="H122" s="3" t="inlineStr">
        <is>
          <t>ro</t>
        </is>
      </c>
      <c r="I122" s="3" t="inlineStr"/>
      <c r="J122" s="3" t="n">
        <v>103</v>
      </c>
      <c r="K122" s="5" t="inlineStr">
        <is>
          <t>entrées : non chiffré</t>
        </is>
      </c>
      <c r="L122" s="5" t="inlineStr"/>
      <c r="M122" s="6" t="inlineStr">
        <is>
          <t>https://en.wikipedia.org/wiki/Cinema_of_Moldova</t>
        </is>
      </c>
      <c r="N122" s="6" t="inlineStr">
        <is>
          <t>https://www.themoviedb.org/movie/865577</t>
        </is>
      </c>
      <c r="O122" s="5" t="inlineStr"/>
      <c r="P122" s="5" t="inlineStr">
        <is>
          <t>Jana (2004, 3 votes)</t>
        </is>
      </c>
      <c r="Q122" s="5" t="inlineStr">
        <is>
          <t>Fiddlers (1973)</t>
        </is>
      </c>
      <c r="R122" s="5" t="inlineStr"/>
      <c r="S122" s="5" t="inlineStr">
        <is>
          <t>Source faible : Wikipedia dit 'film moldave le plus réussi' (en 2024), sans entrées. Coproduction moldave tournée en roumain. À vérifier.</t>
        </is>
      </c>
    </row>
    <row r="123">
      <c r="A123" s="3" t="inlineStr">
        <is>
          <t>Monaco</t>
        </is>
      </c>
      <c r="B123" s="3" t="inlineStr">
        <is>
          <t>Europe</t>
        </is>
      </c>
      <c r="C123" s="8" t="inlineStr">
        <is>
          <t>D</t>
        </is>
      </c>
      <c r="D123" s="3" t="inlineStr">
        <is>
          <t>très faible (moins de 50 votes)</t>
        </is>
      </c>
      <c r="E123" s="3" t="inlineStr">
        <is>
          <t>Les Ballets de Monte Carlo: Le Songe</t>
        </is>
      </c>
      <c r="F123" s="3" t="inlineStr">
        <is>
          <t>Les Ballets de Monte Carlo: Le Songe</t>
        </is>
      </c>
      <c r="G123" s="3" t="inlineStr">
        <is>
          <t>2011</t>
        </is>
      </c>
      <c r="H123" s="3" t="inlineStr">
        <is>
          <t>fr</t>
        </is>
      </c>
      <c r="I123" s="3" t="inlineStr"/>
      <c r="J123" s="3" t="n">
        <v>101</v>
      </c>
      <c r="K123" s="5" t="inlineStr">
        <is>
          <t>popularité TMDB : 0 votes</t>
        </is>
      </c>
      <c r="L123" s="5" t="inlineStr"/>
      <c r="M123" s="6" t="inlineStr">
        <is>
          <t>https://www.themoviedb.org/movie/922617</t>
        </is>
      </c>
      <c r="N123" s="6" t="inlineStr">
        <is>
          <t>https://www.themoviedb.org/movie/922617</t>
        </is>
      </c>
      <c r="O123" s="5" t="inlineStr"/>
      <c r="P123" s="5" t="inlineStr">
        <is>
          <t>Les Ballets de Monte Carlo: Le Songe (2011, 0 votes)</t>
        </is>
      </c>
      <c r="Q123" s="5" t="inlineStr"/>
      <c r="R123" s="5" t="inlineStr"/>
      <c r="S123" s="5" t="inlineStr">
        <is>
          <t>Pas d'industrie nationale.</t>
        </is>
      </c>
    </row>
    <row r="124">
      <c r="A124" s="3" t="inlineStr">
        <is>
          <t>Mongolie</t>
        </is>
      </c>
      <c r="B124" s="3" t="inlineStr">
        <is>
          <t>Asie</t>
        </is>
      </c>
      <c r="C124" s="4" t="inlineStr">
        <is>
          <t>B</t>
        </is>
      </c>
      <c r="D124" s="3" t="inlineStr">
        <is>
          <t>moyenne</t>
        </is>
      </c>
      <c r="E124" s="3" t="inlineStr">
        <is>
          <t>Хотулун гүнж: Алтан судрын эрэлд</t>
        </is>
      </c>
      <c r="F124" s="3" t="inlineStr">
        <is>
          <t>Khutulun La princesse guerrière</t>
        </is>
      </c>
      <c r="G124" s="3" t="inlineStr">
        <is>
          <t>2021</t>
        </is>
      </c>
      <c r="H124" s="3" t="inlineStr">
        <is>
          <t>mn</t>
        </is>
      </c>
      <c r="I124" s="3" t="inlineStr"/>
      <c r="J124" s="3" t="n">
        <v>108</v>
      </c>
      <c r="K124" s="5" t="inlineStr">
        <is>
          <t>popularité TMDB : 133 votes</t>
        </is>
      </c>
      <c r="L124" s="5" t="inlineStr">
        <is>
          <t>abonnement : Amazon Prime Video, Amazon Prime Video with Ads ; location : Apple TV Store, Canal VOD, Sooner ; achat : Apple TV Store, Canal VOD, Sooner</t>
        </is>
      </c>
      <c r="M124" s="6" t="inlineStr">
        <is>
          <t>https://www.themoviedb.org/movie/960481</t>
        </is>
      </c>
      <c r="N124" s="6" t="inlineStr">
        <is>
          <t>https://www.themoviedb.org/movie/960481</t>
        </is>
      </c>
      <c r="O124" s="5" t="inlineStr"/>
      <c r="P124" s="5" t="inlineStr">
        <is>
          <t>Хотулун гүнж: Алтан судрын эрэлд (2021, 133 votes)</t>
        </is>
      </c>
      <c r="Q124" s="5" t="inlineStr">
        <is>
          <t>Tsogt Taij (1945)</t>
        </is>
      </c>
      <c r="R124" s="5" t="inlineStr"/>
      <c r="S124" s="5" t="inlineStr">
        <is>
          <t>Pas de source fiable confirmée. Le fil Reddit « The Box-Office in Mongolia » (2024, page bloquée, seul l'extrait de recherche lu) liste Баян бөөл 296 915 et Zura 2 282 172 entrées juste derrière Avatar: The Way of Water (306 925). Année et statut de plus gros succès national non vérifiés. Ancien classement presse (gogo.mn) : Urgeeleg, 433 M MNT, 2014 seulement. / Only 2013/2014 annual lists found, no all-time ranking.</t>
        </is>
      </c>
    </row>
    <row r="125">
      <c r="A125" s="3" t="inlineStr">
        <is>
          <t>Monténégro</t>
        </is>
      </c>
      <c r="B125" s="3" t="inlineStr">
        <is>
          <t>Europe</t>
        </is>
      </c>
      <c r="C125" s="9" t="inlineStr">
        <is>
          <t>C</t>
        </is>
      </c>
      <c r="D125" s="3" t="inlineStr">
        <is>
          <t>faible (choix éditorial, pas d'audience)</t>
        </is>
      </c>
      <c r="E125" s="3" t="inlineStr">
        <is>
          <t>Obraz</t>
        </is>
      </c>
      <c r="F125" s="3" t="inlineStr">
        <is>
          <t>Obraz</t>
        </is>
      </c>
      <c r="G125" s="3" t="inlineStr">
        <is>
          <t>2024</t>
        </is>
      </c>
      <c r="H125" s="3" t="inlineStr">
        <is>
          <t>sh</t>
        </is>
      </c>
      <c r="I125" s="3" t="inlineStr"/>
      <c r="J125" s="3" t="n">
        <v>97</v>
      </c>
      <c r="K125" s="5" t="inlineStr">
        <is>
          <t>choix « native » de Films Around the World</t>
        </is>
      </c>
      <c r="L125" s="5" t="inlineStr"/>
      <c r="M125" s="6" t="inlineStr">
        <is>
          <t>https://filmsaroundthe.world/country/montenegro/films/the-tower-of-strength-f1fa396c80e78c442/</t>
        </is>
      </c>
      <c r="N125" s="6" t="inlineStr">
        <is>
          <t>https://www.themoviedb.org/movie/1353581</t>
        </is>
      </c>
      <c r="O125" s="5" t="inlineStr"/>
      <c r="P125" s="5" t="inlineStr">
        <is>
          <t>As pik - Loša sudbina (2012, 7 votes)</t>
        </is>
      </c>
      <c r="Q125" s="5" t="inlineStr">
        <is>
          <t>The Tower of Strength (2024)</t>
        </is>
      </c>
      <c r="R125" s="5" t="inlineStr"/>
      <c r="S125" s="5" t="inlineStr">
        <is>
          <t>Pas de donnée sourcée. / Pas de donnée sourcée.</t>
        </is>
      </c>
    </row>
    <row r="126">
      <c r="A126" s="3" t="inlineStr">
        <is>
          <t>Mozambique</t>
        </is>
      </c>
      <c r="B126" s="3" t="inlineStr">
        <is>
          <t>Afrique</t>
        </is>
      </c>
      <c r="C126" s="8" t="inlineStr">
        <is>
          <t>D</t>
        </is>
      </c>
      <c r="D126" s="3" t="inlineStr">
        <is>
          <t>très faible (moins de 50 votes)</t>
        </is>
      </c>
      <c r="E126" s="3" t="inlineStr">
        <is>
          <t>Comboio de Sal e Açucar</t>
        </is>
      </c>
      <c r="F126" s="3" t="inlineStr">
        <is>
          <t>Le train de sel et de sucre</t>
        </is>
      </c>
      <c r="G126" s="3" t="inlineStr">
        <is>
          <t>2016</t>
        </is>
      </c>
      <c r="H126" s="3" t="inlineStr">
        <is>
          <t>pt</t>
        </is>
      </c>
      <c r="I126" s="3" t="inlineStr"/>
      <c r="J126" s="3" t="n">
        <v>93</v>
      </c>
      <c r="K126" s="5" t="inlineStr">
        <is>
          <t>popularité TMDB : 10 votes</t>
        </is>
      </c>
      <c r="L126" s="5" t="inlineStr"/>
      <c r="M126" s="6" t="inlineStr">
        <is>
          <t>https://www.themoviedb.org/movie/408296</t>
        </is>
      </c>
      <c r="N126" s="6" t="inlineStr">
        <is>
          <t>https://www.themoviedb.org/movie/408296</t>
        </is>
      </c>
      <c r="O126" s="5" t="inlineStr"/>
      <c r="P126" s="5" t="inlineStr">
        <is>
          <t>Comboio de Sal e Açucar (2016, 10 votes)</t>
        </is>
      </c>
      <c r="Q126" s="5" t="inlineStr">
        <is>
          <t>Mueda, Memory and Massacre (1979)</t>
        </is>
      </c>
      <c r="R126" s="5" t="inlineStr"/>
      <c r="S126" s="5" t="inlineStr">
        <is>
          <t>pas de box-office national suivi ou publié trouvé</t>
        </is>
      </c>
    </row>
    <row r="127">
      <c r="A127" s="3" t="inlineStr">
        <is>
          <t>Namibie</t>
        </is>
      </c>
      <c r="B127" s="3" t="inlineStr">
        <is>
          <t>Afrique</t>
        </is>
      </c>
      <c r="C127" s="9" t="inlineStr">
        <is>
          <t>C</t>
        </is>
      </c>
      <c r="D127" s="3" t="inlineStr">
        <is>
          <t>faible (choix éditorial, pas d'audience)</t>
        </is>
      </c>
      <c r="E127" s="3" t="inlineStr">
        <is>
          <t>Katutura</t>
        </is>
      </c>
      <c r="F127" s="3" t="inlineStr">
        <is>
          <t>Katutura</t>
        </is>
      </c>
      <c r="G127" s="3" t="inlineStr">
        <is>
          <t>2015</t>
        </is>
      </c>
      <c r="H127" s="3" t="inlineStr">
        <is>
          <t>en</t>
        </is>
      </c>
      <c r="I127" s="3" t="inlineStr"/>
      <c r="J127" s="3" t="n">
        <v>114</v>
      </c>
      <c r="K127" s="5" t="inlineStr">
        <is>
          <t>choix « native » de Films Around the World</t>
        </is>
      </c>
      <c r="L127" s="5" t="inlineStr"/>
      <c r="M127" s="6" t="inlineStr">
        <is>
          <t>https://filmsaroundthe.world/country/namibia/films/katutura-f4fe5a5d8e64bde6c/</t>
        </is>
      </c>
      <c r="N127" s="6" t="inlineStr">
        <is>
          <t>https://www.themoviedb.org/movie/308555</t>
        </is>
      </c>
      <c r="O127" s="5" t="inlineStr"/>
      <c r="P127" s="5" t="inlineStr">
        <is>
          <t>Taste of Rain (2012, 6 votes)</t>
        </is>
      </c>
      <c r="Q127" s="5" t="inlineStr">
        <is>
          <t>Katutura (2015)</t>
        </is>
      </c>
      <c r="R127" s="5" t="inlineStr"/>
      <c r="S127" s="5" t="inlineStr">
        <is>
          <t>pas de box-office national suivi ou publié trouvé</t>
        </is>
      </c>
    </row>
    <row r="128">
      <c r="A128" s="3" t="inlineStr">
        <is>
          <t>Nauru</t>
        </is>
      </c>
      <c r="B128" s="3" t="inlineStr">
        <is>
          <t>Océanie</t>
        </is>
      </c>
      <c r="C128" s="8" t="inlineStr">
        <is>
          <t>D</t>
        </is>
      </c>
      <c r="D128" s="3" t="inlineStr">
        <is>
          <t>très faible (moins de 50 votes)</t>
        </is>
      </c>
      <c r="E128" s="3" t="inlineStr">
        <is>
          <t>Far End of the Sea</t>
        </is>
      </c>
      <c r="F128" s="3" t="inlineStr">
        <is>
          <t>Far End of the Sea</t>
        </is>
      </c>
      <c r="G128" s="3" t="inlineStr">
        <is>
          <t>2026</t>
        </is>
      </c>
      <c r="H128" s="3" t="inlineStr">
        <is>
          <t>en</t>
        </is>
      </c>
      <c r="I128" s="3" t="inlineStr"/>
      <c r="J128" s="3" t="n">
        <v>52</v>
      </c>
      <c r="K128" s="5" t="inlineStr">
        <is>
          <t>popularité TMDB : 0 votes</t>
        </is>
      </c>
      <c r="L128" s="5" t="inlineStr"/>
      <c r="M128" s="6" t="inlineStr">
        <is>
          <t>https://www.themoviedb.org/movie/1700768</t>
        </is>
      </c>
      <c r="N128" s="6" t="inlineStr">
        <is>
          <t>https://www.themoviedb.org/movie/1700768</t>
        </is>
      </c>
      <c r="O128" s="5" t="inlineStr"/>
      <c r="P128" s="5" t="inlineStr">
        <is>
          <t>Far End of the Sea (2026, 0 votes)</t>
        </is>
      </c>
      <c r="Q128" s="5" t="inlineStr"/>
      <c r="R128" s="5" t="inlineStr"/>
      <c r="S128" s="5" t="inlineStr">
        <is>
          <t>No sourced box office data.</t>
        </is>
      </c>
    </row>
    <row r="129">
      <c r="A129" s="3" t="inlineStr">
        <is>
          <t>Népal</t>
        </is>
      </c>
      <c r="B129" s="3" t="inlineStr">
        <is>
          <t>Asie</t>
        </is>
      </c>
      <c r="C129" s="7" t="inlineStr">
        <is>
          <t>A</t>
        </is>
      </c>
      <c r="D129" s="3" t="inlineStr">
        <is>
          <t>bonne</t>
        </is>
      </c>
      <c r="E129" s="3" t="inlineStr">
        <is>
          <t>पूर्णबहादुरको सारङ्गी</t>
        </is>
      </c>
      <c r="F129" s="3" t="inlineStr">
        <is>
          <t>पूर्णबहादुरको सारङ्गी</t>
        </is>
      </c>
      <c r="G129" s="3" t="inlineStr">
        <is>
          <t>2024</t>
        </is>
      </c>
      <c r="H129" s="3" t="inlineStr">
        <is>
          <t>ne</t>
        </is>
      </c>
      <c r="I129" s="3" t="inlineStr"/>
      <c r="J129" s="3" t="n">
        <v>145</v>
      </c>
      <c r="K129" s="5" t="inlineStr">
        <is>
          <t>recettes nationales : रू 46.87 crore (≈1.7M tickets per Lens Nepal)</t>
        </is>
      </c>
      <c r="L129" s="5" t="inlineStr"/>
      <c r="M129" s="6" t="inlineStr">
        <is>
          <t>https://en.wikipedia.org/wiki/List_of_highest-grossing_films_in_Nepal</t>
        </is>
      </c>
      <c r="N129" s="6" t="inlineStr">
        <is>
          <t>https://www.themoviedb.org/movie/1383481</t>
        </is>
      </c>
      <c r="O129" s="5" t="inlineStr">
        <is>
          <t>Gauthali (2026, रू 26.02 crore)</t>
        </is>
      </c>
      <c r="P129" s="5" t="inlineStr">
        <is>
          <t>सेतो सूर्य (2016, 15 votes)</t>
        </is>
      </c>
      <c r="Q129" s="5" t="inlineStr">
        <is>
          <t>Je Bho Ramrai Bho (2003)</t>
        </is>
      </c>
      <c r="R129" s="5" t="inlineStr"/>
      <c r="S129" s="5" t="inlineStr">
        <is>
          <t>Admissions ≈1.7M: https://www.lensnepal.com/news/highest-grossing-films.html</t>
        </is>
      </c>
    </row>
    <row r="130">
      <c r="A130" s="3" t="inlineStr">
        <is>
          <t>Nicaragua</t>
        </is>
      </c>
      <c r="B130" s="3" t="inlineStr">
        <is>
          <t>Amériques</t>
        </is>
      </c>
      <c r="C130" s="7" t="inlineStr">
        <is>
          <t>A</t>
        </is>
      </c>
      <c r="D130" s="3" t="inlineStr">
        <is>
          <t>forte</t>
        </is>
      </c>
      <c r="E130" s="3" t="inlineStr">
        <is>
          <t>La Yuma</t>
        </is>
      </c>
      <c r="F130" s="3" t="inlineStr">
        <is>
          <t>La Yuma</t>
        </is>
      </c>
      <c r="G130" s="3" t="inlineStr">
        <is>
          <t>2010</t>
        </is>
      </c>
      <c r="H130" s="3" t="inlineStr">
        <is>
          <t>es</t>
        </is>
      </c>
      <c r="I130" s="3" t="inlineStr"/>
      <c r="J130" s="3" t="n">
        <v>90</v>
      </c>
      <c r="K130" s="5" t="inlineStr">
        <is>
          <t>entrées : 26 000 (45 000 au total avec la France)</t>
        </is>
      </c>
      <c r="L130" s="5" t="inlineStr"/>
      <c r="M130" s="6" t="inlineStr">
        <is>
          <t>https://casiliteral.com/la-ventana-discreta/diez-anos-de-la-pelicula-nicaraguense-la-yuma/</t>
        </is>
      </c>
      <c r="N130" s="6" t="inlineStr">
        <is>
          <t>https://www.themoviedb.org/movie/162654</t>
        </is>
      </c>
      <c r="O130" s="5" t="inlineStr">
        <is>
          <t>Alsino y el cóndor (1982), 38 000 en salle</t>
        </is>
      </c>
      <c r="P130" s="5" t="inlineStr">
        <is>
          <t>La Yuma (2009, 13 votes)</t>
        </is>
      </c>
      <c r="Q130" s="5" t="inlineStr">
        <is>
          <t>Days of Light (2019)</t>
        </is>
      </c>
      <c r="R130" s="5" t="inlineStr"/>
      <c r="S130" s="5" t="inlineStr">
        <is>
          <t>Coproduction. Alsino aurait plus d'entrées en salle ; ambigu.</t>
        </is>
      </c>
    </row>
    <row r="131">
      <c r="A131" s="3" t="inlineStr">
        <is>
          <t>Niger</t>
        </is>
      </c>
      <c r="B131" s="3" t="inlineStr">
        <is>
          <t>Afrique</t>
        </is>
      </c>
      <c r="C131" s="9" t="inlineStr">
        <is>
          <t>C</t>
        </is>
      </c>
      <c r="D131" s="3" t="inlineStr">
        <is>
          <t>faible (choix éditorial, pas d'audience)</t>
        </is>
      </c>
      <c r="E131" s="3" t="inlineStr">
        <is>
          <t>Zin'naariyâ!</t>
        </is>
      </c>
      <c r="F131" s="3" t="inlineStr">
        <is>
          <t>The Wedding Ring</t>
        </is>
      </c>
      <c r="G131" s="3" t="inlineStr">
        <is>
          <t>2016</t>
        </is>
      </c>
      <c r="H131" s="3" t="inlineStr">
        <is>
          <t>ff</t>
        </is>
      </c>
      <c r="I131" s="3" t="inlineStr"/>
      <c r="J131" s="3" t="n">
        <v>96</v>
      </c>
      <c r="K131" s="5" t="inlineStr">
        <is>
          <t>choix « native » de Films Around the World</t>
        </is>
      </c>
      <c r="L131" s="5" t="inlineStr"/>
      <c r="M131" s="6" t="inlineStr">
        <is>
          <t>https://filmsaroundthe.world/country/niger/films/the-wedding-ring-fc5471ef799bb29c7/</t>
        </is>
      </c>
      <c r="N131" s="6" t="inlineStr">
        <is>
          <t>https://www.themoviedb.org/movie/412211</t>
        </is>
      </c>
      <c r="O131" s="5" t="inlineStr"/>
      <c r="P131" s="5" t="inlineStr">
        <is>
          <t>Bon voyage, Sim (1966, 4 votes)</t>
        </is>
      </c>
      <c r="Q131" s="5" t="inlineStr">
        <is>
          <t>The Wedding Ring (2016)</t>
        </is>
      </c>
      <c r="R131" s="5" t="inlineStr"/>
      <c r="S131" s="5" t="inlineStr">
        <is>
          <t>pas de box-office national suivi ou publié trouvé</t>
        </is>
      </c>
    </row>
    <row r="132">
      <c r="A132" s="3" t="inlineStr">
        <is>
          <t>Nigéria</t>
        </is>
      </c>
      <c r="B132" s="3" t="inlineStr">
        <is>
          <t>Afrique</t>
        </is>
      </c>
      <c r="C132" s="7" t="inlineStr">
        <is>
          <t>A</t>
        </is>
      </c>
      <c r="D132" s="3" t="inlineStr">
        <is>
          <t>bonne</t>
        </is>
      </c>
      <c r="E132" s="3" t="inlineStr">
        <is>
          <t>Behind the Scenes</t>
        </is>
      </c>
      <c r="F132" s="3" t="inlineStr">
        <is>
          <t>Behind The Scenes</t>
        </is>
      </c>
      <c r="G132" s="3" t="inlineStr">
        <is>
          <t>2025</t>
        </is>
      </c>
      <c r="H132" s="3" t="inlineStr">
        <is>
          <t>en</t>
        </is>
      </c>
      <c r="I132" s="3" t="inlineStr"/>
      <c r="J132" s="3" t="n">
        <v>145</v>
      </c>
      <c r="K132" s="5" t="inlineStr">
        <is>
          <t>recettes nationales : NGN 2,760,111,506</t>
        </is>
      </c>
      <c r="L132" s="5" t="inlineStr"/>
      <c r="M132" s="6" t="inlineStr">
        <is>
          <t>https://en.wikipedia.org/wiki/List_of_highest-grossing_Nigerian_films</t>
        </is>
      </c>
      <c r="N132" s="6" t="inlineStr">
        <is>
          <t>https://www.themoviedb.org/movie/1592862</t>
        </is>
      </c>
      <c r="O132" s="5" t="inlineStr">
        <is>
          <t>Everybody Loves Jenifa (2024) NGN 1,882,549,548</t>
        </is>
      </c>
      <c r="P132" s="5" t="inlineStr">
        <is>
          <t>Amina (2021, 139 votes)</t>
        </is>
      </c>
      <c r="Q132" s="5" t="inlineStr">
        <is>
          <t>Living in Bondage (1992)</t>
        </is>
      </c>
      <c r="R132" s="5" t="inlineStr"/>
      <c r="S132" s="5" t="inlineStr">
        <is>
          <t>Film de Funke Akindele, anglais nigérian avec yoruba/pidgin. Recettes non ajustées de l'inflation ; le classement mélange donc les époques.</t>
        </is>
      </c>
    </row>
    <row r="133">
      <c r="A133" s="3" t="inlineStr">
        <is>
          <t>Norvège</t>
        </is>
      </c>
      <c r="B133" s="3" t="inlineStr">
        <is>
          <t>Europe</t>
        </is>
      </c>
      <c r="C133" s="7" t="inlineStr">
        <is>
          <t>A</t>
        </is>
      </c>
      <c r="D133" s="3" t="inlineStr">
        <is>
          <t>forte</t>
        </is>
      </c>
      <c r="E133" s="3" t="inlineStr">
        <is>
          <t>Flåklypa Grand Prix</t>
        </is>
      </c>
      <c r="F133" s="3" t="inlineStr">
        <is>
          <t>Grand Prix Pignon-sur-Roc</t>
        </is>
      </c>
      <c r="G133" s="3" t="inlineStr">
        <is>
          <t>1975</t>
        </is>
      </c>
      <c r="H133" s="3" t="inlineStr">
        <is>
          <t>no</t>
        </is>
      </c>
      <c r="I133" s="3" t="inlineStr">
        <is>
          <t>oui</t>
        </is>
      </c>
      <c r="J133" s="3" t="n">
        <v>88</v>
      </c>
      <c r="K133" s="5" t="inlineStr">
        <is>
          <t>entrées : environ 5 millions (estimation)</t>
        </is>
      </c>
      <c r="L133" s="5" t="inlineStr"/>
      <c r="M133" s="6" t="inlineStr">
        <is>
          <t>https://no.wikipedia.org/wiki/Fl%C3%A5klypa_Grand_Prix</t>
        </is>
      </c>
      <c r="N133" s="6" t="inlineStr">
        <is>
          <t>https://www.themoviedb.org/movie/492015</t>
        </is>
      </c>
      <c r="O133" s="5" t="inlineStr"/>
      <c r="P133" s="5" t="inlineStr">
        <is>
          <t>Troll (2022, 2123 votes)</t>
        </is>
      </c>
      <c r="Q133" s="5" t="inlineStr">
        <is>
          <t>Sentimental Value (2025)</t>
        </is>
      </c>
      <c r="R133" s="5" t="inlineStr"/>
      <c r="S133" s="5" t="inlineStr">
        <is>
          <t>Film d'animation en volume (marionnettes), cité comme le film norvégien le plus vu de tous les temps ; chiffre 'antatt' (supposé) d'environ 5 millions de billets sur toute l'exploitation, pas un relevé officiel. Pas de deuxième trouvé.</t>
        </is>
      </c>
    </row>
    <row r="134">
      <c r="A134" s="3" t="inlineStr">
        <is>
          <t>Nouvelle-Zélande</t>
        </is>
      </c>
      <c r="B134" s="3" t="inlineStr">
        <is>
          <t>Océanie</t>
        </is>
      </c>
      <c r="C134" s="7" t="inlineStr">
        <is>
          <t>A</t>
        </is>
      </c>
      <c r="D134" s="3" t="inlineStr">
        <is>
          <t>bonne</t>
        </is>
      </c>
      <c r="E134" s="3" t="inlineStr">
        <is>
          <t>Hunt for the Wilderpeople</t>
        </is>
      </c>
      <c r="F134" s="3" t="inlineStr">
        <is>
          <t>À la Poursuite de Ricky Baker</t>
        </is>
      </c>
      <c r="G134" s="3" t="inlineStr">
        <is>
          <t>2016</t>
        </is>
      </c>
      <c r="H134" s="3" t="inlineStr">
        <is>
          <t>en</t>
        </is>
      </c>
      <c r="I134" s="3" t="inlineStr"/>
      <c r="J134" s="3" t="n">
        <v>100</v>
      </c>
      <c r="K134" s="5" t="inlineStr">
        <is>
          <t>recettes nationales : NZ$12,207,699</t>
        </is>
      </c>
      <c r="L134" s="5" t="inlineStr">
        <is>
          <t>abonnement : Amazon Prime Video, Sooner, Molotov TV, SFR Play</t>
        </is>
      </c>
      <c r="M134" s="6" t="inlineStr">
        <is>
          <t>https://www.nzfilm.co.nz/assets/resources/Top20Films_NZFC_Nov25.pdf</t>
        </is>
      </c>
      <c r="N134" s="6" t="inlineStr">
        <is>
          <t>https://www.themoviedb.org/movie/371645</t>
        </is>
      </c>
      <c r="O134" s="5" t="inlineStr">
        <is>
          <t>Boy (2010, NZ$9,322,000)</t>
        </is>
      </c>
      <c r="P134" s="5" t="inlineStr">
        <is>
          <t>Mortal Engines (2018, 5373 votes)</t>
        </is>
      </c>
      <c r="Q134" s="5" t="inlineStr">
        <is>
          <t>King Kong (2005)</t>
        </is>
      </c>
      <c r="R134" s="5" t="inlineStr"/>
      <c r="S134" s="5" t="inlineStr">
        <is>
          <t>NZFC, Nov 2025.</t>
        </is>
      </c>
    </row>
    <row r="135">
      <c r="A135" s="3" t="inlineStr">
        <is>
          <t>Oman</t>
        </is>
      </c>
      <c r="B135" s="3" t="inlineStr">
        <is>
          <t>Moyen-Orient</t>
        </is>
      </c>
      <c r="C135" s="8" t="inlineStr">
        <is>
          <t>D</t>
        </is>
      </c>
      <c r="D135" s="3" t="inlineStr">
        <is>
          <t>très faible (moins de 50 votes)</t>
        </is>
      </c>
      <c r="E135" s="3" t="inlineStr">
        <is>
          <t>الصقار</t>
        </is>
      </c>
      <c r="F135" s="3" t="inlineStr">
        <is>
          <t>الصقار</t>
        </is>
      </c>
      <c r="G135" s="3" t="inlineStr">
        <is>
          <t>2021</t>
        </is>
      </c>
      <c r="H135" s="3" t="inlineStr">
        <is>
          <t>ar</t>
        </is>
      </c>
      <c r="I135" s="3" t="inlineStr"/>
      <c r="J135" s="3" t="n">
        <v>100</v>
      </c>
      <c r="K135" s="5" t="inlineStr">
        <is>
          <t>popularité TMDB : 4 votes</t>
        </is>
      </c>
      <c r="L135" s="5" t="inlineStr"/>
      <c r="M135" s="6" t="inlineStr">
        <is>
          <t>https://www.themoviedb.org/movie/889106</t>
        </is>
      </c>
      <c r="N135" s="6" t="inlineStr">
        <is>
          <t>https://www.themoviedb.org/movie/889106</t>
        </is>
      </c>
      <c r="O135" s="5" t="inlineStr"/>
      <c r="P135" s="5" t="inlineStr">
        <is>
          <t>الصقار (2021, 4 votes)</t>
        </is>
      </c>
      <c r="Q135" s="5" t="inlineStr"/>
      <c r="R135" s="5" t="inlineStr"/>
      <c r="S135" s="5" t="inlineStr">
        <is>
          <t>pas de box-office national suivi ou publié trouvé</t>
        </is>
      </c>
    </row>
    <row r="136">
      <c r="A136" s="3" t="inlineStr">
        <is>
          <t>Ouganda</t>
        </is>
      </c>
      <c r="B136" s="3" t="inlineStr">
        <is>
          <t>Afrique</t>
        </is>
      </c>
      <c r="C136" s="9" t="inlineStr">
        <is>
          <t>C</t>
        </is>
      </c>
      <c r="D136" s="3" t="inlineStr">
        <is>
          <t>faible (choix éditorial, pas d'audience)</t>
        </is>
      </c>
      <c r="E136" s="3" t="inlineStr">
        <is>
          <t>Who Killed Captain Alex?</t>
        </is>
      </c>
      <c r="F136" s="3" t="inlineStr">
        <is>
          <t>Who Killed Captain Alex?</t>
        </is>
      </c>
      <c r="G136" s="3" t="inlineStr">
        <is>
          <t>2010</t>
        </is>
      </c>
      <c r="H136" s="3" t="inlineStr">
        <is>
          <t>lg</t>
        </is>
      </c>
      <c r="I136" s="3" t="inlineStr"/>
      <c r="J136" s="3" t="n">
        <v>68</v>
      </c>
      <c r="K136" s="5" t="inlineStr">
        <is>
          <t>choix « native » de Films Around the World</t>
        </is>
      </c>
      <c r="L136" s="5" t="inlineStr">
        <is>
          <t>abonnement : Outbuster Amazon Channel</t>
        </is>
      </c>
      <c r="M136" s="6" t="inlineStr">
        <is>
          <t>https://filmsaroundthe.world/country/uganda/films/who-killed-captain-alex-fa593b4f7135cbdf4/</t>
        </is>
      </c>
      <c r="N136" s="6" t="inlineStr">
        <is>
          <t>https://www.themoviedb.org/movie/316776</t>
        </is>
      </c>
      <c r="O136" s="5" t="inlineStr"/>
      <c r="P136" s="5" t="inlineStr">
        <is>
          <t>Bad Black (2016, 42 votes)</t>
        </is>
      </c>
      <c r="Q136" s="5" t="inlineStr">
        <is>
          <t>Who Killed Captain Alex? (2010)</t>
        </is>
      </c>
      <c r="R136" s="5" t="inlineStr"/>
      <c r="S136" s="5" t="inlineStr">
        <is>
          <t>pas de box-office national suivi ou publié trouvé</t>
        </is>
      </c>
    </row>
    <row r="137">
      <c r="A137" s="3" t="inlineStr">
        <is>
          <t>Ouzbékistan</t>
        </is>
      </c>
      <c r="B137" s="3" t="inlineStr">
        <is>
          <t>Asie</t>
        </is>
      </c>
      <c r="C137" s="7" t="inlineStr">
        <is>
          <t>A</t>
        </is>
      </c>
      <c r="D137" s="3" t="inlineStr">
        <is>
          <t>bonne</t>
        </is>
      </c>
      <c r="E137" s="3" t="inlineStr">
        <is>
          <t>Scorpion</t>
        </is>
      </c>
      <c r="F137" s="3" t="inlineStr">
        <is>
          <t>Scorpion</t>
        </is>
      </c>
      <c r="G137" s="3" t="inlineStr">
        <is>
          <t>2018</t>
        </is>
      </c>
      <c r="H137" s="3" t="inlineStr">
        <is>
          <t>uz</t>
        </is>
      </c>
      <c r="I137" s="3" t="inlineStr"/>
      <c r="J137" s="3" t="n">
        <v>94</v>
      </c>
      <c r="K137" s="5" t="inlineStr">
        <is>
          <t>recettes nationales : None</t>
        </is>
      </c>
      <c r="L137" s="5" t="inlineStr"/>
      <c r="M137" s="6" t="inlineStr">
        <is>
          <t>https://www.pbs.org/video/uzbekistan-nl3JOm</t>
        </is>
      </c>
      <c r="N137" s="6" t="inlineStr">
        <is>
          <t>https://www.themoviedb.org/movie/914434</t>
        </is>
      </c>
      <c r="O137" s="5" t="inlineStr"/>
      <c r="P137" s="5" t="inlineStr">
        <is>
          <t>Scorpion (2018, 16 votes)</t>
        </is>
      </c>
      <c r="Q137" s="5" t="inlineStr">
        <is>
          <t>White, White Storks (1967)</t>
        </is>
      </c>
      <c r="R137" s="5" t="inlineStr"/>
      <c r="S137" s="5" t="inlineStr">
        <is>
          <t>Niveau A par assouplissement : PBS Cinema Nomad (2025) le décrit comme « the highest grossing film in Uzbekistan's history », sans chiffre. Réalisé par Mukhlisa Azizova. Un seul témoignage, pas de donnée chiffrée.</t>
        </is>
      </c>
    </row>
    <row r="138">
      <c r="A138" s="3" t="inlineStr">
        <is>
          <t>Pakistan</t>
        </is>
      </c>
      <c r="B138" s="3" t="inlineStr">
        <is>
          <t>Asie</t>
        </is>
      </c>
      <c r="C138" s="7" t="inlineStr">
        <is>
          <t>A</t>
        </is>
      </c>
      <c r="D138" s="3" t="inlineStr">
        <is>
          <t>bonne</t>
        </is>
      </c>
      <c r="E138" s="3" t="inlineStr">
        <is>
          <t>دی لیجنڈ آف مولا جٹ</t>
        </is>
      </c>
      <c r="F138" s="3" t="inlineStr">
        <is>
          <t>The Legend of Maula Jatt</t>
        </is>
      </c>
      <c r="G138" s="3" t="inlineStr">
        <is>
          <t>2022</t>
        </is>
      </c>
      <c r="H138" s="3" t="inlineStr">
        <is>
          <t>pa</t>
        </is>
      </c>
      <c r="I138" s="3" t="inlineStr"/>
      <c r="J138" s="3" t="n">
        <v>153</v>
      </c>
      <c r="K138" s="5" t="inlineStr">
        <is>
          <t>recettes nationales : Rs. 115.02 crore</t>
        </is>
      </c>
      <c r="L138" s="5" t="inlineStr"/>
      <c r="M138" s="6" t="inlineStr">
        <is>
          <t>https://en.wikipedia.org/wiki/List_of_highest_grossing_Pakistani_films</t>
        </is>
      </c>
      <c r="N138" s="6" t="inlineStr">
        <is>
          <t>https://www.themoviedb.org/movie/464293</t>
        </is>
      </c>
      <c r="O138" s="5" t="inlineStr">
        <is>
          <t>Jawani Phir Nahi Ani 2 (2018, Rs. 53 crore domestic)</t>
        </is>
      </c>
      <c r="P138" s="5" t="inlineStr">
        <is>
          <t>جوائے لینڈ (2022, 174 votes)</t>
        </is>
      </c>
      <c r="Q138" s="5" t="inlineStr">
        <is>
          <t>Dajjal The Slayer and His Followers (2019)</t>
        </is>
      </c>
      <c r="R138" s="5" t="inlineStr"/>
      <c r="S138" s="5" t="inlineStr">
        <is>
          <t>Check domestic vs worldwide: Wikipedia list mixes both.</t>
        </is>
      </c>
    </row>
    <row r="139">
      <c r="A139" s="3" t="inlineStr">
        <is>
          <t>Palaos (Palau)</t>
        </is>
      </c>
      <c r="B139" s="3" t="inlineStr">
        <is>
          <t>Océanie</t>
        </is>
      </c>
      <c r="C139" s="10" t="inlineStr">
        <is>
          <t>-</t>
        </is>
      </c>
      <c r="D139" s="3" t="inlineStr">
        <is>
          <t>aucun film trouvé</t>
        </is>
      </c>
      <c r="E139" s="3" t="inlineStr"/>
      <c r="F139" s="3" t="inlineStr"/>
      <c r="G139" s="3" t="inlineStr"/>
      <c r="H139" s="3" t="inlineStr"/>
      <c r="I139" s="3" t="inlineStr"/>
      <c r="J139" s="3" t="inlineStr"/>
      <c r="K139" s="5" t="inlineStr"/>
      <c r="L139" s="5" t="inlineStr"/>
      <c r="M139" s="5" t="inlineStr"/>
      <c r="N139" s="5" t="inlineStr"/>
      <c r="O139" s="5" t="inlineStr"/>
      <c r="P139" s="5" t="inlineStr"/>
      <c r="Q139" s="5" t="inlineStr"/>
      <c r="R139" s="5" t="inlineStr"/>
      <c r="S139" s="5" t="inlineStr">
        <is>
          <t>No sourced box office data.</t>
        </is>
      </c>
    </row>
    <row r="140">
      <c r="A140" s="3" t="inlineStr">
        <is>
          <t>Palestine</t>
        </is>
      </c>
      <c r="B140" s="3" t="inlineStr">
        <is>
          <t>Moyen-Orient</t>
        </is>
      </c>
      <c r="C140" s="4" t="inlineStr">
        <is>
          <t>B</t>
        </is>
      </c>
      <c r="D140" s="3" t="inlineStr">
        <is>
          <t>moyenne</t>
        </is>
      </c>
      <c r="E140" s="3" t="inlineStr">
        <is>
          <t>عمر</t>
        </is>
      </c>
      <c r="F140" s="3" t="inlineStr">
        <is>
          <t>Omar</t>
        </is>
      </c>
      <c r="G140" s="3" t="inlineStr">
        <is>
          <t>2013</t>
        </is>
      </c>
      <c r="H140" s="3" t="inlineStr">
        <is>
          <t>ar</t>
        </is>
      </c>
      <c r="I140" s="3" t="inlineStr"/>
      <c r="J140" s="3" t="n">
        <v>96</v>
      </c>
      <c r="K140" s="5" t="inlineStr">
        <is>
          <t>popularité TMDB : 192 votes</t>
        </is>
      </c>
      <c r="L140" s="5" t="inlineStr">
        <is>
          <t>location : Orange VOD, YouTube ; achat : Orange VOD, YouTube</t>
        </is>
      </c>
      <c r="M140" s="6" t="inlineStr">
        <is>
          <t>https://www.themoviedb.org/movie/187028</t>
        </is>
      </c>
      <c r="N140" s="6" t="inlineStr">
        <is>
          <t>https://www.themoviedb.org/movie/187028</t>
        </is>
      </c>
      <c r="O140" s="5" t="inlineStr"/>
      <c r="P140" s="5" t="inlineStr">
        <is>
          <t>عمر (2013, 192 votes)</t>
        </is>
      </c>
      <c r="Q140" s="5" t="inlineStr"/>
      <c r="R140" s="5" t="inlineStr"/>
      <c r="S140" s="5" t="inlineStr">
        <is>
          <t>Marché minuscule (2 écrans, 64 026 entrées toutes provenances en 2007 selon Wikipedia). Aucun record documenté. / pas de box-office national suivi ou publié trouvé</t>
        </is>
      </c>
    </row>
    <row r="141">
      <c r="A141" s="3" t="inlineStr">
        <is>
          <t>Panama</t>
        </is>
      </c>
      <c r="B141" s="3" t="inlineStr">
        <is>
          <t>Amériques</t>
        </is>
      </c>
      <c r="C141" s="7" t="inlineStr">
        <is>
          <t>A</t>
        </is>
      </c>
      <c r="D141" s="3" t="inlineStr">
        <is>
          <t>forte</t>
        </is>
      </c>
      <c r="E141" s="3" t="inlineStr">
        <is>
          <t>Chance</t>
        </is>
      </c>
      <c r="F141" s="3" t="inlineStr">
        <is>
          <t>Chance</t>
        </is>
      </c>
      <c r="G141" s="3" t="inlineStr">
        <is>
          <t>2009</t>
        </is>
      </c>
      <c r="H141" s="3" t="inlineStr">
        <is>
          <t>es</t>
        </is>
      </c>
      <c r="I141" s="3" t="inlineStr"/>
      <c r="J141" s="3" t="n">
        <v>90</v>
      </c>
      <c r="K141" s="5" t="inlineStr">
        <is>
          <t>entrées : plus de 140 000</t>
        </is>
      </c>
      <c r="L141" s="5" t="inlineStr">
        <is>
          <t>abonnement : Amazon Prime Video, Amazon Prime Video with Ads</t>
        </is>
      </c>
      <c r="M141" s="6" t="inlineStr">
        <is>
          <t>https://es.wikipedia.org/wiki/Abner_Benaim</t>
        </is>
      </c>
      <c r="N141" s="6" t="inlineStr">
        <is>
          <t>https://www.themoviedb.org/movie/64127</t>
        </is>
      </c>
      <c r="O141" s="5" t="inlineStr">
        <is>
          <t>n/d</t>
        </is>
      </c>
      <c r="P141" s="5" t="inlineStr">
        <is>
          <t>Más que hermanos (2017, 31 votes)</t>
        </is>
      </c>
      <c r="Q141" s="5" t="inlineStr">
        <is>
          <t>Invasion (2014)</t>
        </is>
      </c>
      <c r="R141" s="5" t="inlineStr"/>
      <c r="S141" s="5" t="inlineStr">
        <is>
          <t>Présenté comme film local le plus vu. Coproduction Colombie-Panama. Chiffres régionaux plus élevés (300-500 000). Ambigu.</t>
        </is>
      </c>
    </row>
    <row r="142">
      <c r="A142" s="3" t="inlineStr">
        <is>
          <t>Papouasie-Nouvelle-Guinée</t>
        </is>
      </c>
      <c r="B142" s="3" t="inlineStr">
        <is>
          <t>Océanie</t>
        </is>
      </c>
      <c r="C142" s="8" t="inlineStr">
        <is>
          <t>D</t>
        </is>
      </c>
      <c r="D142" s="3" t="inlineStr">
        <is>
          <t>très faible (moins de 50 votes)</t>
        </is>
      </c>
      <c r="E142" s="3" t="inlineStr">
        <is>
          <t>Daddy</t>
        </is>
      </c>
      <c r="F142" s="3" t="inlineStr">
        <is>
          <t>Daddy</t>
        </is>
      </c>
      <c r="G142" s="3" t="inlineStr">
        <is>
          <t>2020</t>
        </is>
      </c>
      <c r="H142" s="3" t="inlineStr">
        <is>
          <t>en</t>
        </is>
      </c>
      <c r="I142" s="3" t="inlineStr"/>
      <c r="J142" s="3" t="n">
        <v>5</v>
      </c>
      <c r="K142" s="5" t="inlineStr">
        <is>
          <t>popularité TMDB : 1 votes</t>
        </is>
      </c>
      <c r="L142" s="5" t="inlineStr"/>
      <c r="M142" s="6" t="inlineStr">
        <is>
          <t>https://www.themoviedb.org/movie/1152467</t>
        </is>
      </c>
      <c r="N142" s="6" t="inlineStr">
        <is>
          <t>https://www.themoviedb.org/movie/1152467</t>
        </is>
      </c>
      <c r="O142" s="5" t="inlineStr"/>
      <c r="P142" s="5" t="inlineStr">
        <is>
          <t>Daddy (2020, 1 votes)</t>
        </is>
      </c>
      <c r="Q142" s="5" t="inlineStr"/>
      <c r="R142" s="5" t="inlineStr"/>
      <c r="S142" s="5" t="inlineStr">
        <is>
          <t>No sourced box office data.</t>
        </is>
      </c>
    </row>
    <row r="143">
      <c r="A143" s="3" t="inlineStr">
        <is>
          <t>Paraguay</t>
        </is>
      </c>
      <c r="B143" s="3" t="inlineStr">
        <is>
          <t>Amériques</t>
        </is>
      </c>
      <c r="C143" s="7" t="inlineStr">
        <is>
          <t>A</t>
        </is>
      </c>
      <c r="D143" s="3" t="inlineStr">
        <is>
          <t>forte</t>
        </is>
      </c>
      <c r="E143" s="3" t="inlineStr">
        <is>
          <t>7 cajas</t>
        </is>
      </c>
      <c r="F143" s="3" t="inlineStr">
        <is>
          <t>7 Boxes</t>
        </is>
      </c>
      <c r="G143" s="3" t="inlineStr">
        <is>
          <t>2012</t>
        </is>
      </c>
      <c r="H143" s="3" t="inlineStr">
        <is>
          <t>es</t>
        </is>
      </c>
      <c r="I143" s="3" t="inlineStr"/>
      <c r="J143" s="3" t="n">
        <v>100</v>
      </c>
      <c r="K143" s="5" t="inlineStr">
        <is>
          <t>entrées : 280 371</t>
        </is>
      </c>
      <c r="L143" s="5" t="inlineStr">
        <is>
          <t>gratuit pub : Plex, Plex Channel</t>
        </is>
      </c>
      <c r="M143" s="6" t="inlineStr">
        <is>
          <t>https://www.lanacion.com.py/espectaculo/2026/06/05/narciso-y-el-renacer-albirrojo-destacan-en-la-taquilla-nacional</t>
        </is>
      </c>
      <c r="N143" s="6" t="inlineStr">
        <is>
          <t>https://www.themoviedb.org/movie/127847</t>
        </is>
      </c>
      <c r="O143" s="5" t="inlineStr">
        <is>
          <t>Los buscadores (2017), 137 637</t>
        </is>
      </c>
      <c r="P143" s="5" t="inlineStr">
        <is>
          <t>7 cajas (2012, 144 votes)</t>
        </is>
      </c>
      <c r="Q143" s="5" t="inlineStr">
        <is>
          <t>La Redención (2018)</t>
        </is>
      </c>
      <c r="R143" s="5" t="inlineStr"/>
      <c r="S143" s="5" t="inlineStr">
        <is>
          <t>Dialogues en espagnol et guarani.</t>
        </is>
      </c>
    </row>
    <row r="144">
      <c r="A144" s="3" t="inlineStr">
        <is>
          <t>Pays-Bas</t>
        </is>
      </c>
      <c r="B144" s="3" t="inlineStr">
        <is>
          <t>Europe</t>
        </is>
      </c>
      <c r="C144" s="7" t="inlineStr">
        <is>
          <t>A</t>
        </is>
      </c>
      <c r="D144" s="3" t="inlineStr">
        <is>
          <t>forte</t>
        </is>
      </c>
      <c r="E144" s="3" t="inlineStr">
        <is>
          <t>Turks fruit</t>
        </is>
      </c>
      <c r="F144" s="3" t="inlineStr">
        <is>
          <t>Turkish Délices</t>
        </is>
      </c>
      <c r="G144" s="3" t="inlineStr">
        <is>
          <t>1973</t>
        </is>
      </c>
      <c r="H144" s="3" t="inlineStr">
        <is>
          <t>nl</t>
        </is>
      </c>
      <c r="I144" s="3" t="inlineStr"/>
      <c r="J144" s="3" t="n">
        <v>104</v>
      </c>
      <c r="K144" s="5" t="inlineStr">
        <is>
          <t>entrées : 3338000</t>
        </is>
      </c>
      <c r="L144" s="5" t="inlineStr"/>
      <c r="M144" s="6" t="inlineStr">
        <is>
          <t>https://nl.wikipedia.org/wiki/Lijst_van_succesvolste_Nederlandse_films</t>
        </is>
      </c>
      <c r="N144" s="6" t="inlineStr">
        <is>
          <t>https://www.themoviedb.org/movie/21035</t>
        </is>
      </c>
      <c r="O144" s="5" t="inlineStr">
        <is>
          <t>Fanfare (1958), 2637000</t>
        </is>
      </c>
      <c r="P144" s="5" t="inlineStr">
        <is>
          <t>Spoorloos (1988, 902 votes)</t>
        </is>
      </c>
      <c r="Q144" s="5" t="inlineStr">
        <is>
          <t>Turkish Delight (1973)</t>
        </is>
      </c>
      <c r="R144" s="5" t="inlineStr"/>
      <c r="S144" s="5" t="inlineStr">
        <is>
          <t>La version anglaise de Wikipédia donne 3328804.</t>
        </is>
      </c>
    </row>
    <row r="145">
      <c r="A145" s="3" t="inlineStr">
        <is>
          <t>Pérou</t>
        </is>
      </c>
      <c r="B145" s="3" t="inlineStr">
        <is>
          <t>Amériques</t>
        </is>
      </c>
      <c r="C145" s="7" t="inlineStr">
        <is>
          <t>A</t>
        </is>
      </c>
      <c r="D145" s="3" t="inlineStr">
        <is>
          <t>forte</t>
        </is>
      </c>
      <c r="E145" s="3" t="inlineStr">
        <is>
          <t>¡Asu mare! 2</t>
        </is>
      </c>
      <c r="F145" s="3" t="inlineStr">
        <is>
          <t>¡Asu Mare! 2</t>
        </is>
      </c>
      <c r="G145" s="3" t="inlineStr">
        <is>
          <t>2015</t>
        </is>
      </c>
      <c r="H145" s="3" t="inlineStr">
        <is>
          <t>es</t>
        </is>
      </c>
      <c r="I145" s="3" t="inlineStr"/>
      <c r="J145" s="3" t="n">
        <v>100</v>
      </c>
      <c r="K145" s="5" t="inlineStr">
        <is>
          <t>entrées : 3 062 023</t>
        </is>
      </c>
      <c r="L145" s="5" t="inlineStr"/>
      <c r="M145" s="6" t="inlineStr">
        <is>
          <t>https://es.wikipedia.org/wiki/Anexo:Pel%C3%ADculas_de_Per%C3%BA</t>
        </is>
      </c>
      <c r="N145" s="6" t="inlineStr">
        <is>
          <t>https://www.themoviedb.org/movie/335031</t>
        </is>
      </c>
      <c r="O145" s="5" t="inlineStr">
        <is>
          <t>¡Asu mare! (2013), 3 023 606</t>
        </is>
      </c>
      <c r="P145" s="5" t="inlineStr">
        <is>
          <t>Soltera codiciada (2018, 253 votes)</t>
        </is>
      </c>
      <c r="Q145" s="5" t="inlineStr">
        <is>
          <t>Ainbo: Spirit of the Amazon (2021)</t>
        </is>
      </c>
      <c r="R145" s="5" t="inlineStr"/>
      <c r="S145" s="5" t="inlineStr">
        <is>
          <t>Écart très faible entre les deux premiers (39 000 entrées). Recettes 36 987 000 PEN.</t>
        </is>
      </c>
    </row>
    <row r="146">
      <c r="A146" s="3" t="inlineStr">
        <is>
          <t>Philippines</t>
        </is>
      </c>
      <c r="B146" s="3" t="inlineStr">
        <is>
          <t>Asie</t>
        </is>
      </c>
      <c r="C146" s="7" t="inlineStr">
        <is>
          <t>A</t>
        </is>
      </c>
      <c r="D146" s="3" t="inlineStr">
        <is>
          <t>bonne</t>
        </is>
      </c>
      <c r="E146" s="3" t="inlineStr">
        <is>
          <t>Hello, Love, Again</t>
        </is>
      </c>
      <c r="F146" s="3" t="inlineStr">
        <is>
          <t>Hello, Love, Again</t>
        </is>
      </c>
      <c r="G146" s="3" t="inlineStr">
        <is>
          <t>2024</t>
        </is>
      </c>
      <c r="H146" s="3" t="inlineStr">
        <is>
          <t>tl</t>
        </is>
      </c>
      <c r="I146" s="3" t="inlineStr"/>
      <c r="J146" s="3" t="n">
        <v>120</v>
      </c>
      <c r="K146" s="5" t="inlineStr">
        <is>
          <t>recettes nationales : ≈₱1,000,000,000 domestic (worldwide ₱1.6bn)</t>
        </is>
      </c>
      <c r="L146" s="5" t="inlineStr">
        <is>
          <t>abonnement : Netflix, Netflix Standard with Ads</t>
        </is>
      </c>
      <c r="M146" s="6" t="inlineStr">
        <is>
          <t>https://en.wikipedia.org/wiki/List_of_highest-grossing_films_in_the_Philippines</t>
        </is>
      </c>
      <c r="N146" s="6" t="inlineStr">
        <is>
          <t>https://www.themoviedb.org/movie/1292359</t>
        </is>
      </c>
      <c r="O146" s="5" t="inlineStr">
        <is>
          <t>Rewind (2023, domestic ₱848M; Philstar says ₱815M)</t>
        </is>
      </c>
      <c r="P146" s="5" t="inlineStr">
        <is>
          <t>Metro Manila (2013, 180 votes)</t>
        </is>
      </c>
      <c r="Q146" s="5" t="inlineStr">
        <is>
          <t>On The Job 2: The Missing 8 (2021)</t>
        </is>
      </c>
      <c r="R146" s="5" t="inlineStr"/>
      <c r="S146" s="5" t="inlineStr">
        <is>
          <t>Ambiguous: domestic figure is approximate, Tagalog/English.</t>
        </is>
      </c>
    </row>
    <row r="147">
      <c r="A147" s="3" t="inlineStr">
        <is>
          <t>Pologne</t>
        </is>
      </c>
      <c r="B147" s="3" t="inlineStr">
        <is>
          <t>Europe</t>
        </is>
      </c>
      <c r="C147" s="7" t="inlineStr">
        <is>
          <t>A</t>
        </is>
      </c>
      <c r="D147" s="3" t="inlineStr">
        <is>
          <t>forte</t>
        </is>
      </c>
      <c r="E147" s="3" t="inlineStr">
        <is>
          <t>Krzyżacy</t>
        </is>
      </c>
      <c r="F147" s="3" t="inlineStr">
        <is>
          <t>Les chevaliers teutoniques</t>
        </is>
      </c>
      <c r="G147" s="3" t="inlineStr">
        <is>
          <t>1960</t>
        </is>
      </c>
      <c r="H147" s="3" t="inlineStr">
        <is>
          <t>pl</t>
        </is>
      </c>
      <c r="I147" s="3" t="inlineStr"/>
      <c r="J147" s="3" t="n">
        <v>166</v>
      </c>
      <c r="K147" s="5" t="inlineStr">
        <is>
          <t>entrées : 32315695</t>
        </is>
      </c>
      <c r="L147" s="5" t="inlineStr"/>
      <c r="M147" s="6" t="inlineStr">
        <is>
          <t>https://pl.wikipedia.org/wiki/Lista_film%C3%B3w_z_najwi%C4%99ksz%C4%85_liczb%C4%85_widz%C3%B3w_w_Polsce</t>
        </is>
      </c>
      <c r="N147" s="6" t="inlineStr">
        <is>
          <t>https://www.themoviedb.org/movie/66030</t>
        </is>
      </c>
      <c r="O147" s="5" t="inlineStr">
        <is>
          <t>W pustyni i w puszczy (1973), 30989874</t>
        </is>
      </c>
      <c r="P147" s="5" t="inlineStr">
        <is>
          <t>365 dni (2020, 9612 votes)</t>
        </is>
      </c>
      <c r="Q147" s="5" t="inlineStr">
        <is>
          <t>Loving Vincent (2017)</t>
        </is>
      </c>
      <c r="R147" s="5" t="inlineStr"/>
      <c r="S147" s="5" t="inlineStr"/>
    </row>
    <row r="148">
      <c r="A148" s="3" t="inlineStr">
        <is>
          <t>Portugal</t>
        </is>
      </c>
      <c r="B148" s="3" t="inlineStr">
        <is>
          <t>Europe</t>
        </is>
      </c>
      <c r="C148" s="7" t="inlineStr">
        <is>
          <t>A</t>
        </is>
      </c>
      <c r="D148" s="3" t="inlineStr">
        <is>
          <t>forte</t>
        </is>
      </c>
      <c r="E148" s="3" t="inlineStr">
        <is>
          <t>A Gaiola Dourada</t>
        </is>
      </c>
      <c r="F148" s="3" t="inlineStr">
        <is>
          <t>La Cage dorée</t>
        </is>
      </c>
      <c r="G148" s="3" t="inlineStr">
        <is>
          <t>2013</t>
        </is>
      </c>
      <c r="H148" s="3" t="inlineStr">
        <is>
          <t>pt</t>
        </is>
      </c>
      <c r="I148" s="3" t="inlineStr"/>
      <c r="J148" s="3" t="n">
        <v>90</v>
      </c>
      <c r="K148" s="5" t="inlineStr">
        <is>
          <t>entrées : 761113</t>
        </is>
      </c>
      <c r="L148" s="5" t="inlineStr">
        <is>
          <t>location : Apple TV Store, Orange VOD, YouTube, Rakuten TV ; achat : Apple TV Store, Orange VOD, YouTube, Rakuten TV</t>
        </is>
      </c>
      <c r="M148" s="6" t="inlineStr">
        <is>
          <t>https://pt.wikipedia.org/wiki/A_Gaiola_Dourada</t>
        </is>
      </c>
      <c r="N148" s="6" t="inlineStr">
        <is>
          <t>https://www.themoviedb.org/movie/186161</t>
        </is>
      </c>
      <c r="O148" s="5" t="inlineStr">
        <is>
          <t>O Pátio das Cantigas (2015), 608376</t>
        </is>
      </c>
      <c r="P148" s="5" t="inlineStr">
        <is>
          <t>O Fantasma (2000, 125 votes)</t>
        </is>
      </c>
      <c r="Q148" s="5" t="inlineStr">
        <is>
          <t>A Canção de Lisboa (1933)</t>
        </is>
      </c>
      <c r="R148" s="5" t="inlineStr"/>
      <c r="S148" s="5" t="inlineStr">
        <is>
          <t>Chiffres depuis 2004 seulement.</t>
        </is>
      </c>
    </row>
    <row r="149">
      <c r="A149" s="3" t="inlineStr">
        <is>
          <t>Qatar</t>
        </is>
      </c>
      <c r="B149" s="3" t="inlineStr">
        <is>
          <t>Moyen-Orient</t>
        </is>
      </c>
      <c r="C149" s="8" t="inlineStr">
        <is>
          <t>D</t>
        </is>
      </c>
      <c r="D149" s="3" t="inlineStr">
        <is>
          <t>très faible (moins de 50 votes)</t>
        </is>
      </c>
      <c r="E149" s="3" t="inlineStr">
        <is>
          <t>المعلم</t>
        </is>
      </c>
      <c r="F149" s="3" t="inlineStr">
        <is>
          <t>المعلم</t>
        </is>
      </c>
      <c r="G149" s="3" t="inlineStr">
        <is>
          <t>2024</t>
        </is>
      </c>
      <c r="H149" s="3" t="inlineStr">
        <is>
          <t>ar</t>
        </is>
      </c>
      <c r="I149" s="3" t="inlineStr"/>
      <c r="J149" s="3" t="n">
        <v>115</v>
      </c>
      <c r="K149" s="5" t="inlineStr">
        <is>
          <t>popularité TMDB : 14 votes</t>
        </is>
      </c>
      <c r="L149" s="5" t="inlineStr"/>
      <c r="M149" s="6" t="inlineStr">
        <is>
          <t>https://www.themoviedb.org/movie/1069200</t>
        </is>
      </c>
      <c r="N149" s="6" t="inlineStr">
        <is>
          <t>https://www.themoviedb.org/movie/1069200</t>
        </is>
      </c>
      <c r="O149" s="5" t="inlineStr"/>
      <c r="P149" s="5" t="inlineStr">
        <is>
          <t>المعلم (2024, 14 votes)</t>
        </is>
      </c>
      <c r="Q149" s="5" t="inlineStr"/>
      <c r="R149" s="5" t="inlineStr"/>
      <c r="S149" s="5" t="inlineStr">
        <is>
          <t>pas de box-office national suivi ou publié trouvé</t>
        </is>
      </c>
    </row>
    <row r="150">
      <c r="A150" s="3" t="inlineStr">
        <is>
          <t>République centrafricaine</t>
        </is>
      </c>
      <c r="B150" s="3" t="inlineStr">
        <is>
          <t>Afrique</t>
        </is>
      </c>
      <c r="C150" s="8" t="inlineStr">
        <is>
          <t>D</t>
        </is>
      </c>
      <c r="D150" s="3" t="inlineStr">
        <is>
          <t>très faible (moins de 50 votes)</t>
        </is>
      </c>
      <c r="E150" s="3" t="inlineStr">
        <is>
          <t>Congo Boy</t>
        </is>
      </c>
      <c r="F150" s="3" t="inlineStr">
        <is>
          <t>Congo Boy</t>
        </is>
      </c>
      <c r="G150" s="3" t="inlineStr">
        <is>
          <t>2026</t>
        </is>
      </c>
      <c r="H150" s="3" t="inlineStr">
        <is>
          <t>sg</t>
        </is>
      </c>
      <c r="I150" s="3" t="inlineStr"/>
      <c r="J150" s="3" t="n">
        <v>90</v>
      </c>
      <c r="K150" s="5" t="inlineStr">
        <is>
          <t>popularité TMDB : 0 votes</t>
        </is>
      </c>
      <c r="L150" s="5" t="inlineStr"/>
      <c r="M150" s="6" t="inlineStr">
        <is>
          <t>https://www.themoviedb.org/movie/1666683</t>
        </is>
      </c>
      <c r="N150" s="6" t="inlineStr">
        <is>
          <t>https://www.themoviedb.org/movie/1666683</t>
        </is>
      </c>
      <c r="O150" s="5" t="inlineStr"/>
      <c r="P150" s="5" t="inlineStr">
        <is>
          <t>Congo Boy (2026, 0 votes)</t>
        </is>
      </c>
      <c r="Q150" s="5" t="inlineStr">
        <is>
          <t>We, Students! (2022)</t>
        </is>
      </c>
      <c r="R150" s="5" t="inlineStr"/>
      <c r="S150" s="5" t="inlineStr">
        <is>
          <t>pas de box-office national suivi ou publié trouvé</t>
        </is>
      </c>
    </row>
    <row r="151">
      <c r="A151" s="3" t="inlineStr">
        <is>
          <t>République dominicaine</t>
        </is>
      </c>
      <c r="B151" s="3" t="inlineStr">
        <is>
          <t>Amériques</t>
        </is>
      </c>
      <c r="C151" s="7" t="inlineStr">
        <is>
          <t>A</t>
        </is>
      </c>
      <c r="D151" s="3" t="inlineStr">
        <is>
          <t>forte</t>
        </is>
      </c>
      <c r="E151" s="3" t="inlineStr">
        <is>
          <t>Perico Ripiao</t>
        </is>
      </c>
      <c r="F151" s="3" t="inlineStr">
        <is>
          <t>Perico Ripiao</t>
        </is>
      </c>
      <c r="G151" s="3" t="inlineStr">
        <is>
          <t>2003</t>
        </is>
      </c>
      <c r="H151" s="3" t="inlineStr">
        <is>
          <t>es</t>
        </is>
      </c>
      <c r="I151" s="3" t="inlineStr"/>
      <c r="J151" s="3" t="n">
        <v>94</v>
      </c>
      <c r="K151" s="5" t="inlineStr">
        <is>
          <t>entrées : 775 000</t>
        </is>
      </c>
      <c r="L151" s="5" t="inlineStr"/>
      <c r="M151" s="6" t="inlineStr">
        <is>
          <t>https://eldia.com.do/las-10-peliculasdominicanas-mas-taquilleras-de-todos-los-tiempos/</t>
        </is>
      </c>
      <c r="N151" s="6" t="inlineStr">
        <is>
          <t>https://www.themoviedb.org/movie/25000</t>
        </is>
      </c>
      <c r="O151" s="5" t="inlineStr">
        <is>
          <t>Lotoman (2011), 673 759 (DGCINE)</t>
        </is>
      </c>
      <c r="P151" s="5" t="inlineStr">
        <is>
          <t>Perico Ripiao (2003, 91 votes)</t>
        </is>
      </c>
      <c r="Q151" s="5" t="inlineStr">
        <is>
          <t>At the End of the Duty (2008)</t>
        </is>
      </c>
      <c r="R151" s="5" t="inlineStr"/>
      <c r="S151" s="5" t="inlineStr">
        <is>
          <t>Chiffre de presse locale, antérieur à la DGCINE. Qué León (2018) a la plus forte recette (RD$102,1 M, 424 907 entrées). Ambigu.</t>
        </is>
      </c>
    </row>
    <row r="152">
      <c r="A152" s="3" t="inlineStr">
        <is>
          <t>Roumanie</t>
        </is>
      </c>
      <c r="B152" s="3" t="inlineStr">
        <is>
          <t>Europe</t>
        </is>
      </c>
      <c r="C152" s="7" t="inlineStr">
        <is>
          <t>A</t>
        </is>
      </c>
      <c r="D152" s="3" t="inlineStr">
        <is>
          <t>forte</t>
        </is>
      </c>
      <c r="E152" s="3" t="inlineStr">
        <is>
          <t>Nea Mărin miliardar</t>
        </is>
      </c>
      <c r="F152" s="3" t="inlineStr">
        <is>
          <t>Nea Mărin miliardar</t>
        </is>
      </c>
      <c r="G152" s="3" t="inlineStr">
        <is>
          <t>1979</t>
        </is>
      </c>
      <c r="H152" s="3" t="inlineStr">
        <is>
          <t>ro</t>
        </is>
      </c>
      <c r="I152" s="3" t="inlineStr"/>
      <c r="J152" s="3" t="n">
        <v>88</v>
      </c>
      <c r="K152" s="5" t="inlineStr">
        <is>
          <t>entrées : 14645586</t>
        </is>
      </c>
      <c r="L152" s="5" t="inlineStr"/>
      <c r="M152" s="6" t="inlineStr">
        <is>
          <t>https://ro.wikipedia.org/wiki/Nea_M%C4%83rin_miliardar</t>
        </is>
      </c>
      <c r="N152" s="6" t="inlineStr">
        <is>
          <t>https://www.themoviedb.org/movie/179519</t>
        </is>
      </c>
      <c r="O152" s="5" t="inlineStr">
        <is>
          <t>Pacala (1974), 14644029</t>
        </is>
      </c>
      <c r="P152" s="5" t="inlineStr">
        <is>
          <t>Bacalaureat (2016, 317 votes)</t>
        </is>
      </c>
      <c r="Q152" s="5" t="inlineStr">
        <is>
          <t>Reconstruction (1968)</t>
        </is>
      </c>
      <c r="R152" s="5" t="inlineStr"/>
      <c r="S152" s="5" t="inlineStr">
        <is>
          <t>Écart minime avec le second.</t>
        </is>
      </c>
    </row>
    <row r="153">
      <c r="A153" s="3" t="inlineStr">
        <is>
          <t>Royaume-Uni</t>
        </is>
      </c>
      <c r="B153" s="3" t="inlineStr">
        <is>
          <t>Europe</t>
        </is>
      </c>
      <c r="C153" s="7" t="inlineStr">
        <is>
          <t>A</t>
        </is>
      </c>
      <c r="D153" s="3" t="inlineStr">
        <is>
          <t>forte</t>
        </is>
      </c>
      <c r="E153" s="3" t="inlineStr">
        <is>
          <t>Spring in Park Lane</t>
        </is>
      </c>
      <c r="F153" s="3" t="inlineStr">
        <is>
          <t>Spring in Park Lane</t>
        </is>
      </c>
      <c r="G153" s="3" t="inlineStr">
        <is>
          <t>1948</t>
        </is>
      </c>
      <c r="H153" s="3" t="inlineStr">
        <is>
          <t>en</t>
        </is>
      </c>
      <c r="I153" s="3" t="inlineStr"/>
      <c r="J153" s="3" t="n">
        <v>91</v>
      </c>
      <c r="K153" s="5" t="inlineStr">
        <is>
          <t>entrées : 20500000</t>
        </is>
      </c>
      <c r="L153" s="5" t="inlineStr"/>
      <c r="M153" s="6" t="inlineStr">
        <is>
          <t>https://en.wikipedia.org/wiki/List_of_highest-grossing_films_in_the_United_Kingdom</t>
        </is>
      </c>
      <c r="N153" s="6" t="inlineStr">
        <is>
          <t>https://www.themoviedb.org/movie/254261</t>
        </is>
      </c>
      <c r="O153" s="5" t="inlineStr">
        <is>
          <t>The Wicked Lady (1945), 18400000</t>
        </is>
      </c>
      <c r="P153" s="5" t="inlineStr">
        <is>
          <t>Inception (2010, 40516 votes)</t>
        </is>
      </c>
      <c r="Q153" s="5" t="inlineStr">
        <is>
          <t>2001: A Space Odyssey (1968)</t>
        </is>
      </c>
      <c r="R153" s="5" t="inlineStr"/>
      <c r="S153" s="5" t="inlineStr">
        <is>
          <t>Estimation BFI.</t>
        </is>
      </c>
    </row>
    <row r="154">
      <c r="A154" s="3" t="inlineStr">
        <is>
          <t>Russie</t>
        </is>
      </c>
      <c r="B154" s="3" t="inlineStr">
        <is>
          <t>Europe</t>
        </is>
      </c>
      <c r="C154" s="7" t="inlineStr">
        <is>
          <t>A</t>
        </is>
      </c>
      <c r="D154" s="3" t="inlineStr">
        <is>
          <t>forte</t>
        </is>
      </c>
      <c r="E154" s="3" t="inlineStr">
        <is>
          <t>Чебурашка</t>
        </is>
      </c>
      <c r="F154" s="3" t="inlineStr">
        <is>
          <t>Cheburashka</t>
        </is>
      </c>
      <c r="G154" s="3" t="inlineStr">
        <is>
          <t>2023</t>
        </is>
      </c>
      <c r="H154" s="3" t="inlineStr">
        <is>
          <t>ru</t>
        </is>
      </c>
      <c r="I154" s="3" t="inlineStr"/>
      <c r="J154" s="3" t="n">
        <v>113</v>
      </c>
      <c r="K154" s="5" t="inlineStr">
        <is>
          <t>entrées : 22448799</t>
        </is>
      </c>
      <c r="L154" s="5" t="inlineStr"/>
      <c r="M154" s="6" t="inlineStr">
        <is>
          <t>https://ru.wikipedia.org/wiki/Список_самых_кассовых_фильмов_в_России</t>
        </is>
      </c>
      <c r="N154" s="6" t="inlineStr">
        <is>
          <t>https://www.themoviedb.org/movie/751171</t>
        </is>
      </c>
      <c r="O154" s="5" t="inlineStr">
        <is>
          <t>Холоп (2019), 11636735</t>
        </is>
      </c>
      <c r="P154" s="5" t="inlineStr">
        <is>
          <t>Спутник (2020, 1038 votes)</t>
        </is>
      </c>
      <c r="Q154" s="5" t="inlineStr">
        <is>
          <t>Andrei Rublev (1966)</t>
        </is>
      </c>
      <c r="R154" s="5" t="inlineStr"/>
      <c r="S154" s="5" t="inlineStr">
        <is>
          <t>Films soviétiques exclus.</t>
        </is>
      </c>
    </row>
    <row r="155">
      <c r="A155" s="3" t="inlineStr">
        <is>
          <t>Rwanda</t>
        </is>
      </c>
      <c r="B155" s="3" t="inlineStr">
        <is>
          <t>Afrique</t>
        </is>
      </c>
      <c r="C155" s="9" t="inlineStr">
        <is>
          <t>C</t>
        </is>
      </c>
      <c r="D155" s="3" t="inlineStr">
        <is>
          <t>faible (choix éditorial, pas d'audience)</t>
        </is>
      </c>
      <c r="E155" s="3" t="inlineStr">
        <is>
          <t>La Miséricorde de la jungle</t>
        </is>
      </c>
      <c r="F155" s="3" t="inlineStr">
        <is>
          <t>La Miséricorde de la jungle</t>
        </is>
      </c>
      <c r="G155" s="3" t="inlineStr">
        <is>
          <t>2018</t>
        </is>
      </c>
      <c r="H155" s="3" t="inlineStr">
        <is>
          <t>fr</t>
        </is>
      </c>
      <c r="I155" s="3" t="inlineStr"/>
      <c r="J155" s="3" t="n">
        <v>91</v>
      </c>
      <c r="K155" s="5" t="inlineStr">
        <is>
          <t>choix « native » de Films Around the World</t>
        </is>
      </c>
      <c r="L155" s="5" t="inlineStr">
        <is>
          <t>location : Apple TV Store, Orange VOD, YouTube, Rakuten TV ; achat : Apple TV Store, Orange VOD, YouTube, Rakuten TV</t>
        </is>
      </c>
      <c r="M155" s="6" t="inlineStr">
        <is>
          <t>https://filmsaroundthe.world/country/rwanda/films/the-mercy-of-the-jungle-f656951146a226db0/</t>
        </is>
      </c>
      <c r="N155" s="6" t="inlineStr">
        <is>
          <t>https://www.themoviedb.org/movie/515348</t>
        </is>
      </c>
      <c r="O155" s="5" t="inlineStr"/>
      <c r="P155" s="5" t="inlineStr">
        <is>
          <t>Neptune Frost (2022, 39 votes)</t>
        </is>
      </c>
      <c r="Q155" s="5" t="inlineStr">
        <is>
          <t>The Mercy of the Jungle (2018)</t>
        </is>
      </c>
      <c r="R155" s="5" t="inlineStr"/>
      <c r="S155" s="5" t="inlineStr">
        <is>
          <t>pas de box-office national suivi ou publié trouvé</t>
        </is>
      </c>
    </row>
    <row r="156">
      <c r="A156" s="3" t="inlineStr">
        <is>
          <t>Sahara Occidental</t>
        </is>
      </c>
      <c r="B156" s="3" t="inlineStr">
        <is>
          <t>Afrique</t>
        </is>
      </c>
      <c r="C156" s="10" t="inlineStr">
        <is>
          <t>-</t>
        </is>
      </c>
      <c r="D156" s="3" t="inlineStr">
        <is>
          <t>aucun film de fiction trouvé</t>
        </is>
      </c>
      <c r="E156" s="3" t="inlineStr"/>
      <c r="F156" s="3" t="inlineStr"/>
      <c r="G156" s="3" t="inlineStr"/>
      <c r="H156" s="3" t="inlineStr"/>
      <c r="I156" s="3" t="inlineStr"/>
      <c r="J156" s="3" t="inlineStr"/>
      <c r="K156" s="5" t="inlineStr"/>
      <c r="L156" s="5" t="inlineStr"/>
      <c r="M156" s="5" t="inlineStr"/>
      <c r="N156" s="5" t="inlineStr"/>
      <c r="O156" s="5" t="inlineStr"/>
      <c r="P156" s="5" t="inlineStr">
        <is>
          <t>فيلم وصية شهيد (2012, 0 votes)</t>
        </is>
      </c>
      <c r="Q156" s="5" t="inlineStr">
        <is>
          <t>Sahara Occidental indépendance ou génocide? (1976)</t>
        </is>
      </c>
      <c r="R156" s="5" t="inlineStr"/>
      <c r="S156" s="5" t="inlineStr">
        <is>
          <t>Le seul choix disponible était un documentaire de 1976. Territoire disputé : on peut se rabattre sur le cinéma sahraoui des camps de Tindouf (festival FiSahara).</t>
        </is>
      </c>
    </row>
    <row r="157">
      <c r="A157" s="3" t="inlineStr">
        <is>
          <t>Saint-Christophe-et-Niévès</t>
        </is>
      </c>
      <c r="B157" s="3" t="inlineStr">
        <is>
          <t>Amériques</t>
        </is>
      </c>
      <c r="C157" s="4" t="inlineStr">
        <is>
          <t>B</t>
        </is>
      </c>
      <c r="D157" s="3" t="inlineStr">
        <is>
          <t>moyenne</t>
        </is>
      </c>
      <c r="E157" s="3" t="inlineStr">
        <is>
          <t>The Island</t>
        </is>
      </c>
      <c r="F157" s="3" t="inlineStr">
        <is>
          <t>The Island</t>
        </is>
      </c>
      <c r="G157" s="3" t="inlineStr">
        <is>
          <t>2023</t>
        </is>
      </c>
      <c r="H157" s="3" t="inlineStr">
        <is>
          <t>en</t>
        </is>
      </c>
      <c r="I157" s="3" t="inlineStr"/>
      <c r="J157" s="3" t="n">
        <v>93</v>
      </c>
      <c r="K157" s="5" t="inlineStr">
        <is>
          <t>popularité TMDB : 130 votes</t>
        </is>
      </c>
      <c r="L157" s="5" t="inlineStr"/>
      <c r="M157" s="6" t="inlineStr">
        <is>
          <t>https://www.themoviedb.org/movie/1138749</t>
        </is>
      </c>
      <c r="N157" s="6" t="inlineStr">
        <is>
          <t>https://www.themoviedb.org/movie/1138749</t>
        </is>
      </c>
      <c r="O157" s="5" t="inlineStr"/>
      <c r="P157" s="5" t="inlineStr">
        <is>
          <t>The Island (2023, 130 votes)</t>
        </is>
      </c>
      <c r="Q157" s="5" t="inlineStr"/>
      <c r="R157" s="5" t="inlineStr"/>
      <c r="S157" s="5" t="inlineStr">
        <is>
          <t>Aucune donnée sourcée trouvée dans cette passe</t>
        </is>
      </c>
    </row>
    <row r="158">
      <c r="A158" s="3" t="inlineStr">
        <is>
          <t>Sainte-Lucie</t>
        </is>
      </c>
      <c r="B158" s="3" t="inlineStr">
        <is>
          <t>Amériques</t>
        </is>
      </c>
      <c r="C158" s="8" t="inlineStr">
        <is>
          <t>D</t>
        </is>
      </c>
      <c r="D158" s="3" t="inlineStr">
        <is>
          <t>très faible (moins de 50 votes)</t>
        </is>
      </c>
      <c r="E158" s="3" t="inlineStr">
        <is>
          <t>Troubled Waters</t>
        </is>
      </c>
      <c r="F158" s="3" t="inlineStr">
        <is>
          <t>Troubled Waters</t>
        </is>
      </c>
      <c r="G158" s="3" t="inlineStr">
        <is>
          <t>2012</t>
        </is>
      </c>
      <c r="H158" s="3" t="inlineStr">
        <is>
          <t>en</t>
        </is>
      </c>
      <c r="I158" s="3" t="inlineStr"/>
      <c r="J158" s="3" t="n">
        <v>89</v>
      </c>
      <c r="K158" s="5" t="inlineStr">
        <is>
          <t>popularité TMDB : 0 votes</t>
        </is>
      </c>
      <c r="L158" s="5" t="inlineStr"/>
      <c r="M158" s="6" t="inlineStr">
        <is>
          <t>https://www.themoviedb.org/movie/1596771</t>
        </is>
      </c>
      <c r="N158" s="6" t="inlineStr">
        <is>
          <t>https://www.themoviedb.org/movie/1596771</t>
        </is>
      </c>
      <c r="O158" s="5" t="inlineStr"/>
      <c r="P158" s="5" t="inlineStr">
        <is>
          <t>Troubled Waters (2012, 0 votes)</t>
        </is>
      </c>
      <c r="Q158" s="5" t="inlineStr"/>
      <c r="R158" s="5" t="inlineStr"/>
      <c r="S158" s="5" t="inlineStr">
        <is>
          <t>Aucune donnée sourcée trouvée dans cette passe</t>
        </is>
      </c>
    </row>
    <row r="159">
      <c r="A159" s="3" t="inlineStr">
        <is>
          <t>Saint-Marin</t>
        </is>
      </c>
      <c r="B159" s="3" t="inlineStr">
        <is>
          <t>Europe</t>
        </is>
      </c>
      <c r="C159" s="8" t="inlineStr">
        <is>
          <t>D</t>
        </is>
      </c>
      <c r="D159" s="3" t="inlineStr">
        <is>
          <t>très faible (moins de 50 votes)</t>
        </is>
      </c>
      <c r="E159" s="3" t="inlineStr">
        <is>
          <t>Agape</t>
        </is>
      </c>
      <c r="F159" s="3" t="inlineStr">
        <is>
          <t>Agape</t>
        </is>
      </c>
      <c r="G159" s="3" t="inlineStr">
        <is>
          <t>2024</t>
        </is>
      </c>
      <c r="H159" s="3" t="inlineStr">
        <is>
          <t>it</t>
        </is>
      </c>
      <c r="I159" s="3" t="inlineStr"/>
      <c r="J159" s="3" t="inlineStr"/>
      <c r="K159" s="5" t="inlineStr">
        <is>
          <t>popularité TMDB : 0 votes</t>
        </is>
      </c>
      <c r="L159" s="5" t="inlineStr"/>
      <c r="M159" s="6" t="inlineStr">
        <is>
          <t>https://www.themoviedb.org/movie/1404691</t>
        </is>
      </c>
      <c r="N159" s="6" t="inlineStr">
        <is>
          <t>https://www.themoviedb.org/movie/1404691</t>
        </is>
      </c>
      <c r="O159" s="5" t="inlineStr"/>
      <c r="P159" s="5" t="inlineStr">
        <is>
          <t>Agape (2024, 0 votes)</t>
        </is>
      </c>
      <c r="Q159" s="5" t="inlineStr"/>
      <c r="R159" s="5" t="inlineStr"/>
      <c r="S159" s="5" t="inlineStr">
        <is>
          <t>Pas d'industrie nationale.</t>
        </is>
      </c>
    </row>
    <row r="160">
      <c r="A160" s="3" t="inlineStr">
        <is>
          <t>Saint-Vincent-et-les-Grenadines</t>
        </is>
      </c>
      <c r="B160" s="3" t="inlineStr">
        <is>
          <t>Amériques</t>
        </is>
      </c>
      <c r="C160" s="8" t="inlineStr">
        <is>
          <t>D</t>
        </is>
      </c>
      <c r="D160" s="3" t="inlineStr">
        <is>
          <t>très faible (moins de 50 votes)</t>
        </is>
      </c>
      <c r="E160" s="3" t="inlineStr">
        <is>
          <t>Black Doll</t>
        </is>
      </c>
      <c r="F160" s="3" t="inlineStr">
        <is>
          <t>Black Doll</t>
        </is>
      </c>
      <c r="G160" s="3" t="inlineStr">
        <is>
          <t>2018</t>
        </is>
      </c>
      <c r="H160" s="3" t="inlineStr">
        <is>
          <t>en</t>
        </is>
      </c>
      <c r="I160" s="3" t="inlineStr"/>
      <c r="J160" s="3" t="n">
        <v>4</v>
      </c>
      <c r="K160" s="5" t="inlineStr">
        <is>
          <t>popularité TMDB : 2 votes</t>
        </is>
      </c>
      <c r="L160" s="5" t="inlineStr"/>
      <c r="M160" s="6" t="inlineStr">
        <is>
          <t>https://www.themoviedb.org/movie/999158</t>
        </is>
      </c>
      <c r="N160" s="6" t="inlineStr">
        <is>
          <t>https://www.themoviedb.org/movie/999158</t>
        </is>
      </c>
      <c r="O160" s="5" t="inlineStr"/>
      <c r="P160" s="5" t="inlineStr">
        <is>
          <t>Black Doll (2018, 2 votes)</t>
        </is>
      </c>
      <c r="Q160" s="5" t="inlineStr"/>
      <c r="R160" s="5" t="inlineStr"/>
      <c r="S160" s="5" t="inlineStr">
        <is>
          <t>Aucune donnée sourcée trouvée dans cette passe</t>
        </is>
      </c>
    </row>
    <row r="161">
      <c r="A161" s="3" t="inlineStr">
        <is>
          <t>Salvador</t>
        </is>
      </c>
      <c r="B161" s="3" t="inlineStr">
        <is>
          <t>Amériques</t>
        </is>
      </c>
      <c r="C161" s="7" t="inlineStr">
        <is>
          <t>A</t>
        </is>
      </c>
      <c r="D161" s="3" t="inlineStr">
        <is>
          <t>forte</t>
        </is>
      </c>
      <c r="E161" s="3" t="inlineStr">
        <is>
          <t>La balada de Hortensia</t>
        </is>
      </c>
      <c r="F161" s="3" t="inlineStr">
        <is>
          <t>La balada de Hortensia</t>
        </is>
      </c>
      <c r="G161" s="3" t="inlineStr">
        <is>
          <t>2024</t>
        </is>
      </c>
      <c r="H161" s="3" t="inlineStr">
        <is>
          <t>es</t>
        </is>
      </c>
      <c r="I161" s="3" t="inlineStr"/>
      <c r="J161" s="3" t="n">
        <v>94</v>
      </c>
      <c r="K161" s="5" t="inlineStr">
        <is>
          <t>entrées : 55 000</t>
        </is>
      </c>
      <c r="L161" s="5" t="inlineStr"/>
      <c r="M161" s="6" t="inlineStr">
        <is>
          <t>https://www.screendaily.com/news/premiere-entertainment-groups-the-ballad-of-hortensia-smashes-el-salvador-box-office-record-exclusive/5200419.article</t>
        </is>
      </c>
      <c r="N161" s="6" t="inlineStr">
        <is>
          <t>https://www.themoviedb.org/movie/1366250</t>
        </is>
      </c>
      <c r="O161" s="5" t="inlineStr">
        <is>
          <t>Mojados en Navidad (2025), annoncé 2e de l'historique ; ancien record La Rebusqueda (2014), 22 300</t>
        </is>
      </c>
      <c r="P161" s="5" t="inlineStr">
        <is>
          <t>Polvo de gallo (2021, 7 votes)</t>
        </is>
      </c>
      <c r="Q161" s="5" t="inlineStr">
        <is>
          <t>Fly So Far (2021)</t>
        </is>
      </c>
      <c r="R161" s="5" t="inlineStr"/>
      <c r="S161" s="5" t="inlineStr">
        <is>
          <t>Chiffre de sortie fin 2024, peut avoir évolué.</t>
        </is>
      </c>
    </row>
    <row r="162">
      <c r="A162" s="3" t="inlineStr">
        <is>
          <t>Samoa</t>
        </is>
      </c>
      <c r="B162" s="3" t="inlineStr">
        <is>
          <t>Océanie</t>
        </is>
      </c>
      <c r="C162" s="9" t="inlineStr">
        <is>
          <t>C</t>
        </is>
      </c>
      <c r="D162" s="3" t="inlineStr">
        <is>
          <t>faible (choix éditorial, pas d'audience)</t>
        </is>
      </c>
      <c r="E162" s="3" t="inlineStr">
        <is>
          <t>O le tulafale</t>
        </is>
      </c>
      <c r="F162" s="3" t="inlineStr">
        <is>
          <t>O le tulafale</t>
        </is>
      </c>
      <c r="G162" s="3" t="inlineStr">
        <is>
          <t>2011</t>
        </is>
      </c>
      <c r="H162" s="3" t="inlineStr">
        <is>
          <t>sm</t>
        </is>
      </c>
      <c r="I162" s="3" t="inlineStr"/>
      <c r="J162" s="3" t="n">
        <v>110</v>
      </c>
      <c r="K162" s="5" t="inlineStr">
        <is>
          <t>choix « native » de Films Around the World</t>
        </is>
      </c>
      <c r="L162" s="5" t="inlineStr">
        <is>
          <t>gratuit : Filmtap ; gratuit pub : Plex, Plex Channel, Filmzie</t>
        </is>
      </c>
      <c r="M162" s="6" t="inlineStr">
        <is>
          <t>https://filmsaroundthe.world/country/samoa/films/the-orator-f9c4e654658588bed/</t>
        </is>
      </c>
      <c r="N162" s="6" t="inlineStr">
        <is>
          <t>https://www.themoviedb.org/movie/77322</t>
        </is>
      </c>
      <c r="O162" s="5" t="inlineStr"/>
      <c r="P162" s="5" t="inlineStr">
        <is>
          <t>A Dollar to Dream (2026, 0 votes)</t>
        </is>
      </c>
      <c r="Q162" s="5" t="inlineStr">
        <is>
          <t>The Orator (2011)</t>
        </is>
      </c>
      <c r="R162" s="5" t="inlineStr"/>
      <c r="S162" s="5" t="inlineStr">
        <is>
          <t>No sourced box office data.</t>
        </is>
      </c>
    </row>
    <row r="163">
      <c r="A163" s="3" t="inlineStr">
        <is>
          <t>São Tomé et Príncipe</t>
        </is>
      </c>
      <c r="B163" s="3" t="inlineStr">
        <is>
          <t>Afrique</t>
        </is>
      </c>
      <c r="C163" s="9" t="inlineStr">
        <is>
          <t>C</t>
        </is>
      </c>
      <c r="D163" s="3" t="inlineStr">
        <is>
          <t>faible (choix éditorial, pas d'audience)</t>
        </is>
      </c>
      <c r="E163" s="3" t="inlineStr">
        <is>
          <t>A Frutinha do Equador</t>
        </is>
      </c>
      <c r="F163" s="3" t="inlineStr"/>
      <c r="G163" s="3" t="inlineStr">
        <is>
          <t>1998</t>
        </is>
      </c>
      <c r="H163" s="3" t="inlineStr"/>
      <c r="I163" s="3" t="inlineStr"/>
      <c r="J163" s="3" t="inlineStr"/>
      <c r="K163" s="5" t="inlineStr">
        <is>
          <t>choix « native » de Films Around the World</t>
        </is>
      </c>
      <c r="L163" s="5" t="inlineStr"/>
      <c r="M163" s="6" t="inlineStr">
        <is>
          <t>https://filmsaroundthe.world/country/sao-tome-and-principe/films/a-frutinha-do-equador-f3ee1b3165ff9340c/</t>
        </is>
      </c>
      <c r="N163" s="5" t="inlineStr"/>
      <c r="O163" s="5" t="inlineStr"/>
      <c r="P163" s="5" t="inlineStr">
        <is>
          <t>Viagem Sem Volta 3 (2019, 0 votes)</t>
        </is>
      </c>
      <c r="Q163" s="5" t="inlineStr">
        <is>
          <t>A Frutinha do Equador (1998)</t>
        </is>
      </c>
      <c r="R163" s="5" t="inlineStr"/>
      <c r="S163" s="5" t="inlineStr">
        <is>
          <t>pas de box-office national suivi ou publié trouvé</t>
        </is>
      </c>
    </row>
    <row r="164">
      <c r="A164" s="3" t="inlineStr">
        <is>
          <t>Sénégal</t>
        </is>
      </c>
      <c r="B164" s="3" t="inlineStr">
        <is>
          <t>Afrique</t>
        </is>
      </c>
      <c r="C164" s="4" t="inlineStr">
        <is>
          <t>B</t>
        </is>
      </c>
      <c r="D164" s="3" t="inlineStr">
        <is>
          <t>moyenne</t>
        </is>
      </c>
      <c r="E164" s="3" t="inlineStr">
        <is>
          <t>Touki-Bouki</t>
        </is>
      </c>
      <c r="F164" s="3" t="inlineStr">
        <is>
          <t>Le voyage de la Hyène</t>
        </is>
      </c>
      <c r="G164" s="3" t="inlineStr">
        <is>
          <t>1973</t>
        </is>
      </c>
      <c r="H164" s="3" t="inlineStr">
        <is>
          <t>wo</t>
        </is>
      </c>
      <c r="I164" s="3" t="inlineStr"/>
      <c r="J164" s="3" t="n">
        <v>90</v>
      </c>
      <c r="K164" s="5" t="inlineStr">
        <is>
          <t>popularité TMDB : 127 votes</t>
        </is>
      </c>
      <c r="L164" s="5" t="inlineStr">
        <is>
          <t>abonnement : MUBI, MUBI Amazon Channel</t>
        </is>
      </c>
      <c r="M164" s="6" t="inlineStr">
        <is>
          <t>https://www.themoviedb.org/movie/77771</t>
        </is>
      </c>
      <c r="N164" s="6" t="inlineStr">
        <is>
          <t>https://www.themoviedb.org/movie/77771</t>
        </is>
      </c>
      <c r="O164" s="5" t="inlineStr"/>
      <c r="P164" s="5" t="inlineStr">
        <is>
          <t>Touki-Bouki (1973, 127 votes)</t>
        </is>
      </c>
      <c r="Q164" s="5" t="inlineStr">
        <is>
          <t>Black Girl (1966)</t>
        </is>
      </c>
      <c r="R164" s="5" t="inlineStr"/>
      <c r="S164" s="5" t="inlineStr">
        <is>
          <t>Pas de box-office suivi. Meilleur candidat : Une si longue lettre (2025, Angèle Diabang), resté en tête du box-office de Pathé Dakar tout l'été 2025 devant Jurassic World: Rebirth et Superman (AFP), sans chiffre ni statut de record historique. / pas de box-office national suivi ou publié trouvé</t>
        </is>
      </c>
    </row>
    <row r="165">
      <c r="A165" s="3" t="inlineStr">
        <is>
          <t>Serbie</t>
        </is>
      </c>
      <c r="B165" s="3" t="inlineStr">
        <is>
          <t>Europe</t>
        </is>
      </c>
      <c r="C165" s="7" t="inlineStr">
        <is>
          <t>A</t>
        </is>
      </c>
      <c r="D165" s="3" t="inlineStr">
        <is>
          <t>forte</t>
        </is>
      </c>
      <c r="E165" s="3" t="inlineStr">
        <is>
          <t>Монтевидео, Бог те видео!</t>
        </is>
      </c>
      <c r="F165" s="3" t="inlineStr">
        <is>
          <t>Монтевидео, Бог те видео!</t>
        </is>
      </c>
      <c r="G165" s="3" t="inlineStr">
        <is>
          <t>2010</t>
        </is>
      </c>
      <c r="H165" s="3" t="inlineStr">
        <is>
          <t>sr</t>
        </is>
      </c>
      <c r="I165" s="3" t="inlineStr"/>
      <c r="J165" s="3" t="n">
        <v>140</v>
      </c>
      <c r="K165" s="5" t="inlineStr">
        <is>
          <t>entrées : plus de 520 000</t>
        </is>
      </c>
      <c r="L165" s="5" t="inlineStr"/>
      <c r="M165" s="6" t="inlineStr">
        <is>
          <t>https://en.wikipedia.org/wiki/Montevideo,_God_Bless_You!</t>
        </is>
      </c>
      <c r="N165" s="6" t="inlineStr">
        <is>
          <t>https://www.themoviedb.org/movie/57419</t>
        </is>
      </c>
      <c r="O165" s="5" t="inlineStr">
        <is>
          <t>Nedelja (2024, environ 500 000)</t>
        </is>
      </c>
      <c r="P165" s="5" t="inlineStr">
        <is>
          <t>Srpski film (2010, 2303 votes)</t>
        </is>
      </c>
      <c r="Q165" s="5" t="inlineStr">
        <is>
          <t>Black Cat, White Cat (1998)</t>
        </is>
      </c>
      <c r="R165" s="5" t="inlineStr"/>
      <c r="S165" s="5" t="inlineStr">
        <is>
          <t>Ambigu : Nedelja revendique 500 000 spectateurs (Wikipedia serbe), très proche, et une autre source donnait 347 622. Films de l'ère yougoslave non comparés.</t>
        </is>
      </c>
    </row>
    <row r="166">
      <c r="A166" s="3" t="inlineStr">
        <is>
          <t>Seychelles</t>
        </is>
      </c>
      <c r="B166" s="3" t="inlineStr">
        <is>
          <t>Afrique</t>
        </is>
      </c>
      <c r="C166" s="9" t="inlineStr">
        <is>
          <t>C</t>
        </is>
      </c>
      <c r="D166" s="3" t="inlineStr">
        <is>
          <t>faible (choix éditorial, pas d'audience)</t>
        </is>
      </c>
      <c r="E166" s="3" t="inlineStr">
        <is>
          <t>Bolot Feray</t>
        </is>
      </c>
      <c r="F166" s="3" t="inlineStr">
        <is>
          <t>Bolot Feray</t>
        </is>
      </c>
      <c r="G166" s="3" t="inlineStr">
        <is>
          <t>1995</t>
        </is>
      </c>
      <c r="H166" s="3" t="inlineStr">
        <is>
          <t>fr</t>
        </is>
      </c>
      <c r="I166" s="3" t="inlineStr"/>
      <c r="J166" s="3" t="n">
        <v>125</v>
      </c>
      <c r="K166" s="5" t="inlineStr">
        <is>
          <t>choix « native » de Films Around the World</t>
        </is>
      </c>
      <c r="L166" s="5" t="inlineStr"/>
      <c r="M166" s="6" t="inlineStr">
        <is>
          <t>https://filmsaroundthe.world/country/seychelles/films/bolot-feray-f7549482b57cf5ed7/</t>
        </is>
      </c>
      <c r="N166" s="6" t="inlineStr">
        <is>
          <t>https://www.themoviedb.org/movie/621202</t>
        </is>
      </c>
      <c r="O166" s="5" t="inlineStr"/>
      <c r="P166" s="5" t="inlineStr">
        <is>
          <t>Threads (2026, 1 votes)</t>
        </is>
      </c>
      <c r="Q166" s="5" t="inlineStr">
        <is>
          <t>Bolot Feray (1995)</t>
        </is>
      </c>
      <c r="R166" s="5" t="inlineStr"/>
      <c r="S166" s="5" t="inlineStr">
        <is>
          <t>pas de box-office national suivi ou publié trouvé</t>
        </is>
      </c>
    </row>
    <row r="167">
      <c r="A167" s="3" t="inlineStr">
        <is>
          <t>Sierra Leone</t>
        </is>
      </c>
      <c r="B167" s="3" t="inlineStr">
        <is>
          <t>Afrique</t>
        </is>
      </c>
      <c r="C167" s="8" t="inlineStr">
        <is>
          <t>D</t>
        </is>
      </c>
      <c r="D167" s="3" t="inlineStr">
        <is>
          <t>très faible (moins de 50 votes)</t>
        </is>
      </c>
      <c r="E167" s="3" t="inlineStr">
        <is>
          <t>Tangled With the Boss</t>
        </is>
      </c>
      <c r="F167" s="3" t="inlineStr">
        <is>
          <t>Tangled With the Boss</t>
        </is>
      </c>
      <c r="G167" s="3" t="inlineStr">
        <is>
          <t>2021</t>
        </is>
      </c>
      <c r="H167" s="3" t="inlineStr">
        <is>
          <t>en</t>
        </is>
      </c>
      <c r="I167" s="3" t="inlineStr"/>
      <c r="J167" s="3" t="n">
        <v>85</v>
      </c>
      <c r="K167" s="5" t="inlineStr">
        <is>
          <t>popularité TMDB : 1 votes</t>
        </is>
      </c>
      <c r="L167" s="5" t="inlineStr"/>
      <c r="M167" s="6" t="inlineStr">
        <is>
          <t>https://www.themoviedb.org/movie/1251987</t>
        </is>
      </c>
      <c r="N167" s="6" t="inlineStr">
        <is>
          <t>https://www.themoviedb.org/movie/1251987</t>
        </is>
      </c>
      <c r="O167" s="5" t="inlineStr"/>
      <c r="P167" s="5" t="inlineStr">
        <is>
          <t>Tangled With the Boss (2021, 1 votes)</t>
        </is>
      </c>
      <c r="Q167" s="5" t="inlineStr">
        <is>
          <t>Survivors (2018)</t>
        </is>
      </c>
      <c r="R167" s="5" t="inlineStr"/>
      <c r="S167" s="5" t="inlineStr">
        <is>
          <t>pas de box-office national suivi ou publié trouvé</t>
        </is>
      </c>
    </row>
    <row r="168">
      <c r="A168" s="3" t="inlineStr">
        <is>
          <t>Singapour</t>
        </is>
      </c>
      <c r="B168" s="3" t="inlineStr">
        <is>
          <t>Asie</t>
        </is>
      </c>
      <c r="C168" s="7" t="inlineStr">
        <is>
          <t>A</t>
        </is>
      </c>
      <c r="D168" s="3" t="inlineStr">
        <is>
          <t>bonne</t>
        </is>
      </c>
      <c r="E168" s="3" t="inlineStr">
        <is>
          <t>Ah Boys to Men 2</t>
        </is>
      </c>
      <c r="F168" s="3" t="inlineStr">
        <is>
          <t>新兵正传2</t>
        </is>
      </c>
      <c r="G168" s="3" t="inlineStr">
        <is>
          <t>2013</t>
        </is>
      </c>
      <c r="H168" s="3" t="inlineStr">
        <is>
          <t>zh</t>
        </is>
      </c>
      <c r="I168" s="3" t="inlineStr"/>
      <c r="J168" s="3" t="n">
        <v>113</v>
      </c>
      <c r="K168" s="5" t="inlineStr">
        <is>
          <t>recettes nationales : S$7.90M</t>
        </is>
      </c>
      <c r="L168" s="5" t="inlineStr"/>
      <c r="M168" s="6" t="inlineStr">
        <is>
          <t>https://en.wikipedia.org/wiki/List_of_highest-grossing_films_in_Singapore</t>
        </is>
      </c>
      <c r="N168" s="6" t="inlineStr">
        <is>
          <t>https://www.themoviedb.org/movie/193173</t>
        </is>
      </c>
      <c r="O168" s="5" t="inlineStr">
        <is>
          <t>Ah Boys to Men 3: Frogmen (S$7.62M)</t>
        </is>
      </c>
      <c r="P168" s="5" t="inlineStr">
        <is>
          <t>Bait (2012, 830 votes)</t>
        </is>
      </c>
      <c r="Q168" s="5" t="inlineStr">
        <is>
          <t>Ilo Ilo (2013)</t>
        </is>
      </c>
      <c r="R168" s="5" t="inlineStr"/>
      <c r="S168" s="5" t="inlineStr">
        <is>
          <t>Multilingual (Mandarin, English, Hokkien); language coded zh. Ip Man 3 excluded (Hong Kong film).</t>
        </is>
      </c>
    </row>
    <row r="169">
      <c r="A169" s="3" t="inlineStr">
        <is>
          <t>Slovaquie</t>
        </is>
      </c>
      <c r="B169" s="3" t="inlineStr">
        <is>
          <t>Europe</t>
        </is>
      </c>
      <c r="C169" s="7" t="inlineStr">
        <is>
          <t>A</t>
        </is>
      </c>
      <c r="D169" s="3" t="inlineStr">
        <is>
          <t>forte</t>
        </is>
      </c>
      <c r="E169" s="3" t="inlineStr">
        <is>
          <t>Sviňa</t>
        </is>
      </c>
      <c r="F169" s="3" t="inlineStr">
        <is>
          <t>Sviňa</t>
        </is>
      </c>
      <c r="G169" s="3" t="inlineStr">
        <is>
          <t>2020</t>
        </is>
      </c>
      <c r="H169" s="3" t="inlineStr">
        <is>
          <t>sk</t>
        </is>
      </c>
      <c r="I169" s="3" t="inlineStr"/>
      <c r="J169" s="3" t="n">
        <v>104</v>
      </c>
      <c r="K169" s="5" t="inlineStr">
        <is>
          <t>entrées : 389358</t>
        </is>
      </c>
      <c r="L169" s="5" t="inlineStr"/>
      <c r="M169" s="6" t="inlineStr">
        <is>
          <t>https://www.film.sk</t>
        </is>
      </c>
      <c r="N169" s="6" t="inlineStr">
        <is>
          <t>https://www.themoviedb.org/movie/650981</t>
        </is>
      </c>
      <c r="O169" s="5" t="inlineStr">
        <is>
          <t>Bathory (2008), 432300</t>
        </is>
      </c>
      <c r="P169" s="5" t="inlineStr">
        <is>
          <t>Lóve (2011, 36 votes)</t>
        </is>
      </c>
      <c r="Q169" s="5" t="inlineStr">
        <is>
          <t>The Garden (1995)</t>
        </is>
      </c>
      <c r="R169" s="5" t="inlineStr"/>
      <c r="S169" s="5" t="inlineStr">
        <is>
          <t>Ambigu : Bathory fait plus mais est une coproduction tournée en anglais, écarté. Depuis l'indépendance.</t>
        </is>
      </c>
    </row>
    <row r="170">
      <c r="A170" s="3" t="inlineStr">
        <is>
          <t>Slovénie</t>
        </is>
      </c>
      <c r="B170" s="3" t="inlineStr">
        <is>
          <t>Europe</t>
        </is>
      </c>
      <c r="C170" s="7" t="inlineStr">
        <is>
          <t>A</t>
        </is>
      </c>
      <c r="D170" s="3" t="inlineStr">
        <is>
          <t>forte</t>
        </is>
      </c>
      <c r="E170" s="3" t="inlineStr">
        <is>
          <t>Pr' Hostar</t>
        </is>
      </c>
      <c r="F170" s="3" t="inlineStr">
        <is>
          <t>Pr' Hostar</t>
        </is>
      </c>
      <c r="G170" s="3" t="inlineStr">
        <is>
          <t>2016</t>
        </is>
      </c>
      <c r="H170" s="3" t="inlineStr">
        <is>
          <t>sl</t>
        </is>
      </c>
      <c r="I170" s="3" t="inlineStr"/>
      <c r="J170" s="3" t="n">
        <v>87</v>
      </c>
      <c r="K170" s="5" t="inlineStr">
        <is>
          <t>entrées : 212812</t>
        </is>
      </c>
      <c r="L170" s="5" t="inlineStr"/>
      <c r="M170" s="6" t="inlineStr">
        <is>
          <t>https://sl.wikipedia.org/wiki/Seznam_najbolj_gledanih_slovenskih_filmov_v_Sloveniji</t>
        </is>
      </c>
      <c r="N170" s="6" t="inlineStr">
        <is>
          <t>https://www.themoviedb.org/movie/421802</t>
        </is>
      </c>
      <c r="O170" s="5" t="inlineStr">
        <is>
          <t>Gremo mi po svoje (2010), 208737</t>
        </is>
      </c>
      <c r="P170" s="5" t="inlineStr">
        <is>
          <t>Razredni sovražnik (2013, 89 votes)</t>
        </is>
      </c>
      <c r="Q170" s="5" t="inlineStr">
        <is>
          <t>Houston, We Have a Problem! (2016)</t>
        </is>
      </c>
      <c r="R170" s="5" t="inlineStr"/>
      <c r="S170" s="5" t="inlineStr">
        <is>
          <t>Slovénie indépendante.</t>
        </is>
      </c>
    </row>
    <row r="171">
      <c r="A171" s="3" t="inlineStr">
        <is>
          <t>Somalie</t>
        </is>
      </c>
      <c r="B171" s="3" t="inlineStr">
        <is>
          <t>Afrique</t>
        </is>
      </c>
      <c r="C171" s="9" t="inlineStr">
        <is>
          <t>C</t>
        </is>
      </c>
      <c r="D171" s="3" t="inlineStr">
        <is>
          <t>faible (choix éditorial, pas d'audience)</t>
        </is>
      </c>
      <c r="E171" s="3" t="inlineStr">
        <is>
          <t>Geedka nolosha</t>
        </is>
      </c>
      <c r="F171" s="3" t="inlineStr">
        <is>
          <t>Geedka nolosha</t>
        </is>
      </c>
      <c r="G171" s="3" t="inlineStr">
        <is>
          <t>1988</t>
        </is>
      </c>
      <c r="H171" s="3" t="inlineStr">
        <is>
          <t>so</t>
        </is>
      </c>
      <c r="I171" s="3" t="inlineStr"/>
      <c r="J171" s="3" t="n">
        <v>23</v>
      </c>
      <c r="K171" s="5" t="inlineStr">
        <is>
          <t>choix « native » de Films Around the World</t>
        </is>
      </c>
      <c r="L171" s="5" t="inlineStr"/>
      <c r="M171" s="6" t="inlineStr">
        <is>
          <t>https://filmsaroundthe.world/country/somalia/films/geedka-nolosha-faa358e95cf466bf3/</t>
        </is>
      </c>
      <c r="N171" s="6" t="inlineStr">
        <is>
          <t>https://www.themoviedb.org/movie/276682</t>
        </is>
      </c>
      <c r="O171" s="5" t="inlineStr"/>
      <c r="P171" s="5" t="inlineStr">
        <is>
          <t>Geedka nolosha (1988, 5 votes)</t>
        </is>
      </c>
      <c r="Q171" s="5" t="inlineStr">
        <is>
          <t>Geedka nolosha (1988)</t>
        </is>
      </c>
      <c r="R171" s="5" t="inlineStr">
        <is>
          <t>Qabiil 4.5, série de films somaliens de la diaspora diffusée sur YouTube (https://youtube.com/watch?v=0YeuRDekiYs), choisie par la liste Letterboxd de jamesjonathan. C'est sans doute là qu'est le vrai cinéma populaire somalien.</t>
        </is>
      </c>
      <c r="S171" s="5" t="inlineStr">
        <is>
          <t>Alternative plus accessible : The Gravedigger's Wife / Guled &amp; Nasra (2021), en somali, premier film envoyé aux Oscars par la Somalie et Étalon d'or du FESPACO, mais produit par la Finlande, d'où il n'est pas retenu ici. Pas de salles significatives ni de box-office ; cinéma de vidéo/YouTube. Aucun long-métrage nommé avec un nombre de vues fiable. / Pas de box-office ; production surtout sur YouTube, aucun candidat sourcé retenu.</t>
        </is>
      </c>
    </row>
    <row r="172">
      <c r="A172" s="3" t="inlineStr">
        <is>
          <t>Soudan</t>
        </is>
      </c>
      <c r="B172" s="3" t="inlineStr">
        <is>
          <t>Afrique</t>
        </is>
      </c>
      <c r="C172" s="9" t="inlineStr">
        <is>
          <t>C</t>
        </is>
      </c>
      <c r="D172" s="3" t="inlineStr">
        <is>
          <t>faible (choix éditorial, pas d'audience)</t>
        </is>
      </c>
      <c r="E172" s="3" t="inlineStr">
        <is>
          <t>ستموت في العشرين</t>
        </is>
      </c>
      <c r="F172" s="3" t="inlineStr">
        <is>
          <t>Tu mourras à 20 ans</t>
        </is>
      </c>
      <c r="G172" s="3" t="inlineStr">
        <is>
          <t>2019</t>
        </is>
      </c>
      <c r="H172" s="3" t="inlineStr">
        <is>
          <t>ar</t>
        </is>
      </c>
      <c r="I172" s="3" t="inlineStr"/>
      <c r="J172" s="3" t="n">
        <v>105</v>
      </c>
      <c r="K172" s="5" t="inlineStr">
        <is>
          <t>choix « native » de Films Around the World</t>
        </is>
      </c>
      <c r="L172" s="5" t="inlineStr">
        <is>
          <t>location : Orange VOD, Rakuten TV, Canal VOD, Sooner ; achat : Orange VOD, Rakuten TV, Canal VOD, Sooner</t>
        </is>
      </c>
      <c r="M172" s="6" t="inlineStr">
        <is>
          <t>https://filmsaroundthe.world/country/sudan/films/you-will-die-at-20-f0fb74ef42e0ea990/</t>
        </is>
      </c>
      <c r="N172" s="6" t="inlineStr">
        <is>
          <t>https://www.themoviedb.org/movie/617710</t>
        </is>
      </c>
      <c r="O172" s="5" t="inlineStr"/>
      <c r="P172" s="5" t="inlineStr">
        <is>
          <t>Train Station (2015, 4 votes)</t>
        </is>
      </c>
      <c r="Q172" s="5" t="inlineStr">
        <is>
          <t>You Will Die at 20 (2019)</t>
        </is>
      </c>
      <c r="R172" s="5" t="inlineStr"/>
      <c r="S172" s="5" t="inlineStr">
        <is>
          <t>pas de box-office national suivi ou publié trouvé</t>
        </is>
      </c>
    </row>
    <row r="173">
      <c r="A173" s="3" t="inlineStr">
        <is>
          <t>Soudan du Sud</t>
        </is>
      </c>
      <c r="B173" s="3" t="inlineStr">
        <is>
          <t>Afrique</t>
        </is>
      </c>
      <c r="C173" s="8" t="inlineStr">
        <is>
          <t>D</t>
        </is>
      </c>
      <c r="D173" s="3" t="inlineStr">
        <is>
          <t>très faible (moins de 50 votes)</t>
        </is>
      </c>
      <c r="E173" s="3" t="inlineStr">
        <is>
          <t>Lost Boy in Juba</t>
        </is>
      </c>
      <c r="F173" s="3" t="inlineStr">
        <is>
          <t>Lost Boy in Juba</t>
        </is>
      </c>
      <c r="G173" s="3" t="inlineStr">
        <is>
          <t>2017</t>
        </is>
      </c>
      <c r="H173" s="3" t="inlineStr">
        <is>
          <t>en</t>
        </is>
      </c>
      <c r="I173" s="3" t="inlineStr"/>
      <c r="J173" s="3" t="n">
        <v>4</v>
      </c>
      <c r="K173" s="5" t="inlineStr">
        <is>
          <t>popularité TMDB : 1 votes</t>
        </is>
      </c>
      <c r="L173" s="5" t="inlineStr"/>
      <c r="M173" s="6" t="inlineStr">
        <is>
          <t>https://www.themoviedb.org/movie/1152618</t>
        </is>
      </c>
      <c r="N173" s="6" t="inlineStr">
        <is>
          <t>https://www.themoviedb.org/movie/1152618</t>
        </is>
      </c>
      <c r="O173" s="5" t="inlineStr"/>
      <c r="P173" s="5" t="inlineStr">
        <is>
          <t>Lost Boy in Juba (2017, 1 votes)</t>
        </is>
      </c>
      <c r="Q173" s="5" t="inlineStr">
        <is>
          <t>No Simple Way Home (2022)</t>
        </is>
      </c>
      <c r="R173" s="5" t="inlineStr"/>
      <c r="S173" s="5" t="inlineStr">
        <is>
          <t>pas de box-office national suivi ou publié trouvé</t>
        </is>
      </c>
    </row>
    <row r="174">
      <c r="A174" s="3" t="inlineStr">
        <is>
          <t>Sri Lanka</t>
        </is>
      </c>
      <c r="B174" s="3" t="inlineStr">
        <is>
          <t>Asie</t>
        </is>
      </c>
      <c r="C174" s="7" t="inlineStr">
        <is>
          <t>A</t>
        </is>
      </c>
      <c r="D174" s="3" t="inlineStr">
        <is>
          <t>bonne</t>
        </is>
      </c>
      <c r="E174" s="3" t="inlineStr">
        <is>
          <t>ගජමන්</t>
        </is>
      </c>
      <c r="F174" s="3" t="inlineStr">
        <is>
          <t>ගජමෑන්</t>
        </is>
      </c>
      <c r="G174" s="3" t="inlineStr">
        <is>
          <t>2023</t>
        </is>
      </c>
      <c r="H174" s="3" t="inlineStr">
        <is>
          <t>si</t>
        </is>
      </c>
      <c r="I174" s="3" t="inlineStr">
        <is>
          <t>oui</t>
        </is>
      </c>
      <c r="J174" s="3" t="n">
        <v>99</v>
      </c>
      <c r="K174" s="5" t="inlineStr">
        <is>
          <t>recettes nationales : LKR 610M</t>
        </is>
      </c>
      <c r="L174" s="5" t="inlineStr"/>
      <c r="M174" s="6" t="inlineStr">
        <is>
          <t>https://variety.com/2025/film/news/sri-lankan-comedy-tentigo-remakes-box-office-success-1236486395/</t>
        </is>
      </c>
      <c r="N174" s="6" t="inlineStr">
        <is>
          <t>https://www.themoviedb.org/movie/881201</t>
        </is>
      </c>
      <c r="O174" s="5" t="inlineStr">
        <is>
          <t>Tentigo (2025, LKR 450M)</t>
        </is>
      </c>
      <c r="P174" s="5" t="inlineStr">
        <is>
          <t>නිදහසේ පියා DS (2018, 11 votes)</t>
        </is>
      </c>
      <c r="Q174" s="5" t="inlineStr">
        <is>
          <t>Gamani (2011)</t>
        </is>
      </c>
      <c r="R174" s="5" t="inlineStr"/>
      <c r="S174" s="5" t="inlineStr">
        <is>
          <t>Ambiguous: Dharmayuddhaya II (2026) set a record opening weekend with no total available; older claim for Sooriya Arana (2004).</t>
        </is>
      </c>
    </row>
    <row r="175">
      <c r="A175" s="3" t="inlineStr">
        <is>
          <t>Suède</t>
        </is>
      </c>
      <c r="B175" s="3" t="inlineStr">
        <is>
          <t>Europe</t>
        </is>
      </c>
      <c r="C175" s="7" t="inlineStr">
        <is>
          <t>A</t>
        </is>
      </c>
      <c r="D175" s="3" t="inlineStr">
        <is>
          <t>forte</t>
        </is>
      </c>
      <c r="E175" s="3" t="inlineStr">
        <is>
          <t>Sällskapsresan</t>
        </is>
      </c>
      <c r="F175" s="3" t="inlineStr">
        <is>
          <t>Voyage organisé</t>
        </is>
      </c>
      <c r="G175" s="3" t="inlineStr">
        <is>
          <t>1980</t>
        </is>
      </c>
      <c r="H175" s="3" t="inlineStr">
        <is>
          <t>sv</t>
        </is>
      </c>
      <c r="I175" s="3" t="inlineStr"/>
      <c r="J175" s="3" t="n">
        <v>107</v>
      </c>
      <c r="K175" s="5" t="inlineStr">
        <is>
          <t>entrées : 2038785</t>
        </is>
      </c>
      <c r="L175" s="5" t="inlineStr">
        <is>
          <t>abonnement : Netflix, Netflix Standard with Ads</t>
        </is>
      </c>
      <c r="M175" s="6" t="inlineStr">
        <is>
          <t>https://sv.wikipedia.org/wiki/Lista_%C3%B6ver_mest_sedda_filmer_i_Sverige</t>
        </is>
      </c>
      <c r="N175" s="6" t="inlineStr">
        <is>
          <t>https://www.themoviedb.org/movie/16026</t>
        </is>
      </c>
      <c r="O175" s="5" t="inlineStr">
        <is>
          <t>Att angöra en brygga (1965), 1806323</t>
        </is>
      </c>
      <c r="P175" s="5" t="inlineStr">
        <is>
          <t>Det sjunde inseglet (1957, 3497 votes)</t>
        </is>
      </c>
      <c r="Q175" s="5" t="inlineStr">
        <is>
          <t>The Seventh Seal (1957)</t>
        </is>
      </c>
      <c r="R175" s="5" t="inlineStr"/>
      <c r="S175" s="5" t="inlineStr">
        <is>
          <t>Période 1965-2020.</t>
        </is>
      </c>
    </row>
    <row r="176">
      <c r="A176" s="3" t="inlineStr">
        <is>
          <t>Suisse</t>
        </is>
      </c>
      <c r="B176" s="3" t="inlineStr">
        <is>
          <t>Europe</t>
        </is>
      </c>
      <c r="C176" s="7" t="inlineStr">
        <is>
          <t>A</t>
        </is>
      </c>
      <c r="D176" s="3" t="inlineStr">
        <is>
          <t>forte</t>
        </is>
      </c>
      <c r="E176" s="3" t="inlineStr">
        <is>
          <t>Die Schweizermacher</t>
        </is>
      </c>
      <c r="F176" s="3" t="inlineStr">
        <is>
          <t>Les Faiseurs de Suisses</t>
        </is>
      </c>
      <c r="G176" s="3" t="inlineStr">
        <is>
          <t>1978</t>
        </is>
      </c>
      <c r="H176" s="3" t="inlineStr">
        <is>
          <t>de</t>
        </is>
      </c>
      <c r="I176" s="3" t="inlineStr"/>
      <c r="J176" s="3" t="n">
        <v>107</v>
      </c>
      <c r="K176" s="5" t="inlineStr">
        <is>
          <t>entrées : 941971</t>
        </is>
      </c>
      <c r="L176" s="5" t="inlineStr">
        <is>
          <t>location : Apple TV Store ; achat : Apple TV Store</t>
        </is>
      </c>
      <c r="M176" s="6" t="inlineStr">
        <is>
          <t>https://outnow.ch</t>
        </is>
      </c>
      <c r="N176" s="6" t="inlineStr">
        <is>
          <t>https://www.themoviedb.org/movie/34666</t>
        </is>
      </c>
      <c r="O176" s="5" t="inlineStr"/>
      <c r="P176" s="5" t="inlineStr">
        <is>
          <t>Cargo (2009, 462 votes)</t>
        </is>
      </c>
      <c r="Q176" s="5" t="inlineStr">
        <is>
          <t>Bread and Tulips (2000)</t>
        </is>
      </c>
      <c r="R176" s="5" t="inlineStr"/>
      <c r="S176" s="5" t="inlineStr">
        <is>
          <t>Source outnow.ch / OFS, chiffre approximatif.</t>
        </is>
      </c>
    </row>
    <row r="177">
      <c r="A177" s="3" t="inlineStr">
        <is>
          <t>Surinam</t>
        </is>
      </c>
      <c r="B177" s="3" t="inlineStr">
        <is>
          <t>Amériques</t>
        </is>
      </c>
      <c r="C177" s="8" t="inlineStr">
        <is>
          <t>D</t>
        </is>
      </c>
      <c r="D177" s="3" t="inlineStr">
        <is>
          <t>très faible (moins de 50 votes)</t>
        </is>
      </c>
      <c r="E177" s="3" t="inlineStr">
        <is>
          <t>Wan Pipel</t>
        </is>
      </c>
      <c r="F177" s="3" t="inlineStr">
        <is>
          <t>Wan Pipel</t>
        </is>
      </c>
      <c r="G177" s="3" t="inlineStr">
        <is>
          <t>1976</t>
        </is>
      </c>
      <c r="H177" s="3" t="inlineStr">
        <is>
          <t>nl</t>
        </is>
      </c>
      <c r="I177" s="3" t="inlineStr"/>
      <c r="J177" s="3" t="n">
        <v>111</v>
      </c>
      <c r="K177" s="5" t="inlineStr">
        <is>
          <t>popularité TMDB : 10 votes</t>
        </is>
      </c>
      <c r="L177" s="5" t="inlineStr"/>
      <c r="M177" s="6" t="inlineStr">
        <is>
          <t>https://www.themoviedb.org/movie/65432</t>
        </is>
      </c>
      <c r="N177" s="6" t="inlineStr">
        <is>
          <t>https://www.themoviedb.org/movie/65432</t>
        </is>
      </c>
      <c r="O177" s="5" t="inlineStr"/>
      <c r="P177" s="5" t="inlineStr">
        <is>
          <t>Wan Pipel (1976, 10 votes)</t>
        </is>
      </c>
      <c r="Q177" s="5" t="inlineStr"/>
      <c r="R177" s="5" t="inlineStr"/>
      <c r="S177" s="5" t="inlineStr">
        <is>
          <t>Pas de box-office suivi. / Aucune donnée sourcée trouvée dans cette passe</t>
        </is>
      </c>
    </row>
    <row r="178">
      <c r="A178" s="3" t="inlineStr">
        <is>
          <t>Syrie</t>
        </is>
      </c>
      <c r="B178" s="3" t="inlineStr">
        <is>
          <t>Moyen-Orient</t>
        </is>
      </c>
      <c r="C178" s="8" t="inlineStr">
        <is>
          <t>D</t>
        </is>
      </c>
      <c r="D178" s="3" t="inlineStr">
        <is>
          <t>très faible (moins de 50 votes)</t>
        </is>
      </c>
      <c r="E178" s="3" t="inlineStr">
        <is>
          <t>المخدوعون</t>
        </is>
      </c>
      <c r="F178" s="3" t="inlineStr">
        <is>
          <t>Les Dupes</t>
        </is>
      </c>
      <c r="G178" s="3" t="inlineStr">
        <is>
          <t>1972</t>
        </is>
      </c>
      <c r="H178" s="3" t="inlineStr">
        <is>
          <t>ar</t>
        </is>
      </c>
      <c r="I178" s="3" t="inlineStr"/>
      <c r="J178" s="3" t="n">
        <v>107</v>
      </c>
      <c r="K178" s="5" t="inlineStr">
        <is>
          <t>popularité TMDB : 21 votes</t>
        </is>
      </c>
      <c r="L178" s="5" t="inlineStr"/>
      <c r="M178" s="6" t="inlineStr">
        <is>
          <t>https://www.themoviedb.org/movie/178535</t>
        </is>
      </c>
      <c r="N178" s="6" t="inlineStr">
        <is>
          <t>https://www.themoviedb.org/movie/178535</t>
        </is>
      </c>
      <c r="O178" s="5" t="inlineStr"/>
      <c r="P178" s="5" t="inlineStr">
        <is>
          <t>المخدوعون (1972, 21 votes)</t>
        </is>
      </c>
      <c r="Q178" s="5" t="inlineStr">
        <is>
          <t>For Sama (2019)</t>
        </is>
      </c>
      <c r="R178" s="5" t="inlineStr"/>
      <c r="S178" s="5" t="inlineStr">
        <is>
          <t>Pas de box-office suivi ; seule mention : Memory of a Night of Love (1973) « succès commercial », sans chiffre. / pas de box-office national suivi ou publié trouvé</t>
        </is>
      </c>
    </row>
    <row r="179">
      <c r="A179" s="3" t="inlineStr">
        <is>
          <t>Tadjikistan</t>
        </is>
      </c>
      <c r="B179" s="3" t="inlineStr">
        <is>
          <t>Asie</t>
        </is>
      </c>
      <c r="C179" s="9" t="inlineStr">
        <is>
          <t>C</t>
        </is>
      </c>
      <c r="D179" s="3" t="inlineStr">
        <is>
          <t>faible (choix éditorial, pas d'audience)</t>
        </is>
      </c>
      <c r="E179" s="3" t="inlineStr">
        <is>
          <t>Телохранитель</t>
        </is>
      </c>
      <c r="F179" s="3" t="inlineStr">
        <is>
          <t>Телохранитель</t>
        </is>
      </c>
      <c r="G179" s="3" t="inlineStr">
        <is>
          <t>1979</t>
        </is>
      </c>
      <c r="H179" s="3" t="inlineStr">
        <is>
          <t>ru</t>
        </is>
      </c>
      <c r="I179" s="3" t="inlineStr"/>
      <c r="J179" s="3" t="n">
        <v>90</v>
      </c>
      <c r="K179" s="5" t="inlineStr">
        <is>
          <t>choix « native » de Films Around the World</t>
        </is>
      </c>
      <c r="L179" s="5" t="inlineStr"/>
      <c r="M179" s="6" t="inlineStr">
        <is>
          <t>https://filmsaroundthe.world/country/tajikistan/films/the-bodyguard-f95f978289c2ebe76/</t>
        </is>
      </c>
      <c r="N179" s="6" t="inlineStr">
        <is>
          <t>https://www.themoviedb.org/movie/262514</t>
        </is>
      </c>
      <c r="O179" s="5" t="inlineStr"/>
      <c r="P179" s="5" t="inlineStr">
        <is>
          <t>Лунный папа (1999, 43 votes)</t>
        </is>
      </c>
      <c r="Q179" s="5" t="inlineStr">
        <is>
          <t>The Bodyguard (1979)</t>
        </is>
      </c>
      <c r="R179" s="5" t="inlineStr"/>
      <c r="S179" s="5" t="inlineStr">
        <is>
          <t>No sourced box office data.</t>
        </is>
      </c>
    </row>
    <row r="180">
      <c r="A180" s="3" t="inlineStr">
        <is>
          <t>Taïwan</t>
        </is>
      </c>
      <c r="B180" s="3" t="inlineStr">
        <is>
          <t>Asie</t>
        </is>
      </c>
      <c r="C180" s="7" t="inlineStr">
        <is>
          <t>A</t>
        </is>
      </c>
      <c r="D180" s="3" t="inlineStr">
        <is>
          <t>bonne</t>
        </is>
      </c>
      <c r="E180" s="3" t="inlineStr">
        <is>
          <t>陽光女子合唱團</t>
        </is>
      </c>
      <c r="F180" s="3" t="inlineStr">
        <is>
          <t>陽光女子合唱團</t>
        </is>
      </c>
      <c r="G180" s="3" t="inlineStr">
        <is>
          <t>2025</t>
        </is>
      </c>
      <c r="H180" s="3" t="inlineStr">
        <is>
          <t>zh</t>
        </is>
      </c>
      <c r="I180" s="3" t="inlineStr"/>
      <c r="J180" s="3" t="n">
        <v>135</v>
      </c>
      <c r="K180" s="5" t="inlineStr">
        <is>
          <t>recettes nationales : NT$741.8M (Wikipedia list); NT$670M by 27 Feb 2026 (CNA)</t>
        </is>
      </c>
      <c r="L180" s="5" t="inlineStr">
        <is>
          <t>abonnement : Netflix, Netflix Standard with Ads</t>
        </is>
      </c>
      <c r="M180" s="6" t="inlineStr">
        <is>
          <t>https://www.cna.com.tw/news/amov/202602150093.aspx</t>
        </is>
      </c>
      <c r="N180" s="6" t="inlineStr">
        <is>
          <t>https://www.themoviedb.org/movie/1481955</t>
        </is>
      </c>
      <c r="O180" s="5" t="inlineStr">
        <is>
          <t>Cape No. 7 (2008, NT$534.35M)</t>
        </is>
      </c>
      <c r="P180" s="5" t="inlineStr">
        <is>
          <t>哭悲 (2021, 1258 votes)</t>
        </is>
      </c>
      <c r="Q180" s="5" t="inlineStr">
        <is>
          <t>Crouching Tiger, Hidden Dragon (2000)</t>
        </is>
      </c>
      <c r="R180" s="5" t="inlineStr"/>
      <c r="S180" s="5" t="inlineStr">
        <is>
          <t>Mandarin. Remake of the Korean film Harmony (2010); sources differ on the total. Variety: https://variety.com/2026/film/box-office/sunshine-womens-choir-highest-grossing-taiwanese-film-1236663778/</t>
        </is>
      </c>
    </row>
    <row r="181">
      <c r="A181" s="3" t="inlineStr">
        <is>
          <t>Tanzanie</t>
        </is>
      </c>
      <c r="B181" s="3" t="inlineStr">
        <is>
          <t>Afrique</t>
        </is>
      </c>
      <c r="C181" s="8" t="inlineStr">
        <is>
          <t>D</t>
        </is>
      </c>
      <c r="D181" s="3" t="inlineStr">
        <is>
          <t>très faible (moins de 50 votes)</t>
        </is>
      </c>
      <c r="E181" s="3" t="inlineStr">
        <is>
          <t>Jonah</t>
        </is>
      </c>
      <c r="F181" s="3" t="inlineStr">
        <is>
          <t>Jonah</t>
        </is>
      </c>
      <c r="G181" s="3" t="inlineStr">
        <is>
          <t>2013</t>
        </is>
      </c>
      <c r="H181" s="3" t="inlineStr">
        <is>
          <t>en</t>
        </is>
      </c>
      <c r="I181" s="3" t="inlineStr"/>
      <c r="J181" s="3" t="n">
        <v>17</v>
      </c>
      <c r="K181" s="5" t="inlineStr">
        <is>
          <t>popularité TMDB : 21 votes</t>
        </is>
      </c>
      <c r="L181" s="5" t="inlineStr"/>
      <c r="M181" s="6" t="inlineStr">
        <is>
          <t>https://www.themoviedb.org/movie/164233</t>
        </is>
      </c>
      <c r="N181" s="6" t="inlineStr">
        <is>
          <t>https://www.themoviedb.org/movie/164233</t>
        </is>
      </c>
      <c r="O181" s="5" t="inlineStr"/>
      <c r="P181" s="5" t="inlineStr">
        <is>
          <t>Jonah (2013, 21 votes)</t>
        </is>
      </c>
      <c r="Q181" s="5" t="inlineStr">
        <is>
          <t>These Hands (1992)</t>
        </is>
      </c>
      <c r="R181" s="5" t="inlineStr"/>
      <c r="S181" s="5" t="inlineStr">
        <is>
          <t>pas de box-office national suivi ou publié trouvé</t>
        </is>
      </c>
    </row>
    <row r="182">
      <c r="A182" s="3" t="inlineStr">
        <is>
          <t>Tchad</t>
        </is>
      </c>
      <c r="B182" s="3" t="inlineStr">
        <is>
          <t>Afrique</t>
        </is>
      </c>
      <c r="C182" s="9" t="inlineStr">
        <is>
          <t>C</t>
        </is>
      </c>
      <c r="D182" s="3" t="inlineStr">
        <is>
          <t>faible (choix éditorial, pas d'audience)</t>
        </is>
      </c>
      <c r="E182" s="3" t="inlineStr">
        <is>
          <t>Bye Bye Africa</t>
        </is>
      </c>
      <c r="F182" s="3" t="inlineStr"/>
      <c r="G182" s="3" t="inlineStr">
        <is>
          <t>1999</t>
        </is>
      </c>
      <c r="H182" s="3" t="inlineStr"/>
      <c r="I182" s="3" t="inlineStr"/>
      <c r="J182" s="3" t="inlineStr"/>
      <c r="K182" s="5" t="inlineStr">
        <is>
          <t>choix « native » de Films Around the World</t>
        </is>
      </c>
      <c r="L182" s="5" t="inlineStr"/>
      <c r="M182" s="6" t="inlineStr">
        <is>
          <t>https://filmsaroundthe.world/country/chad/films/bye-bye-africa-fb34bc995d48acfbe/</t>
        </is>
      </c>
      <c r="N182" s="5" t="inlineStr"/>
      <c r="O182" s="5" t="inlineStr"/>
      <c r="P182" s="5" t="inlineStr">
        <is>
          <t>Lingui : les liens sacrés (2021, 44 votes)</t>
        </is>
      </c>
      <c r="Q182" s="5" t="inlineStr">
        <is>
          <t>Bye Bye Africa (1999)</t>
        </is>
      </c>
      <c r="R182" s="5" t="inlineStr"/>
      <c r="S182" s="5" t="inlineStr">
        <is>
          <t>pas de box-office national suivi ou publié trouvé</t>
        </is>
      </c>
    </row>
    <row r="183">
      <c r="A183" s="3" t="inlineStr">
        <is>
          <t>Tchéquie</t>
        </is>
      </c>
      <c r="B183" s="3" t="inlineStr">
        <is>
          <t>Europe</t>
        </is>
      </c>
      <c r="C183" s="7" t="inlineStr">
        <is>
          <t>A</t>
        </is>
      </c>
      <c r="D183" s="3" t="inlineStr">
        <is>
          <t>forte</t>
        </is>
      </c>
      <c r="E183" s="3" t="inlineStr">
        <is>
          <t>Pyšná princezna</t>
        </is>
      </c>
      <c r="F183" s="3" t="inlineStr">
        <is>
          <t>La Princesse orgueilleuse</t>
        </is>
      </c>
      <c r="G183" s="3" t="inlineStr">
        <is>
          <t>1952</t>
        </is>
      </c>
      <c r="H183" s="3" t="inlineStr">
        <is>
          <t>cs</t>
        </is>
      </c>
      <c r="I183" s="3" t="inlineStr"/>
      <c r="J183" s="3" t="n">
        <v>94</v>
      </c>
      <c r="K183" s="5" t="inlineStr">
        <is>
          <t>entrées : 8233010</t>
        </is>
      </c>
      <c r="L183" s="5" t="inlineStr"/>
      <c r="M183" s="6" t="inlineStr">
        <is>
          <t>https://cs.wikipedia.org/wiki/Seznam_nejnav%C5%A1t%C4%9Bvovan%C4%9Bj%C5%A1%C3%ADch_%C4%8Desk%C3%BDch_film%C5%AF</t>
        </is>
      </c>
      <c r="N183" s="6" t="inlineStr">
        <is>
          <t>https://www.themoviedb.org/movie/41228</t>
        </is>
      </c>
      <c r="O183" s="5" t="inlineStr">
        <is>
          <t>Byl jednou jeden král… (1955), 5915296</t>
        </is>
      </c>
      <c r="P183" s="5" t="inlineStr">
        <is>
          <t>Kolja (1996, 224 votes)</t>
        </is>
      </c>
      <c r="Q183" s="5" t="inlineStr">
        <is>
          <t>Kolya (1996)</t>
        </is>
      </c>
      <c r="R183" s="5" t="inlineStr"/>
      <c r="S183" s="5" t="inlineStr">
        <is>
          <t>Entrées sur le territoire actuel, période tchécoslovaque. Après 1993 : Ženy v běhu (2019), 1543842.</t>
        </is>
      </c>
    </row>
    <row r="184">
      <c r="A184" s="3" t="inlineStr">
        <is>
          <t>Thaïlande</t>
        </is>
      </c>
      <c r="B184" s="3" t="inlineStr">
        <is>
          <t>Asie</t>
        </is>
      </c>
      <c r="C184" s="7" t="inlineStr">
        <is>
          <t>A</t>
        </is>
      </c>
      <c r="D184" s="3" t="inlineStr">
        <is>
          <t>bonne</t>
        </is>
      </c>
      <c r="E184" s="3" t="inlineStr">
        <is>
          <t>พี่มาก..พระโขนง</t>
        </is>
      </c>
      <c r="F184" s="3" t="inlineStr">
        <is>
          <t>Pee Mak</t>
        </is>
      </c>
      <c r="G184" s="3" t="inlineStr">
        <is>
          <t>2013</t>
        </is>
      </c>
      <c r="H184" s="3" t="inlineStr">
        <is>
          <t>th</t>
        </is>
      </c>
      <c r="I184" s="3" t="inlineStr"/>
      <c r="J184" s="3" t="n">
        <v>112</v>
      </c>
      <c r="K184" s="5" t="inlineStr">
        <is>
          <t>recettes nationales : ฿568.55M</t>
        </is>
      </c>
      <c r="L184" s="5" t="inlineStr"/>
      <c r="M184" s="6" t="inlineStr">
        <is>
          <t>https://en.wikipedia.org/wiki/List_of_highest-grossing_films_in_Thailand</t>
        </is>
      </c>
      <c r="N184" s="6" t="inlineStr">
        <is>
          <t>https://www.themoviedb.org/movie/184219</t>
        </is>
      </c>
      <c r="O184" s="5" t="inlineStr">
        <is>
          <t>I Fine..Thank You..Love You (2014, ฿330.55M)</t>
        </is>
      </c>
      <c r="P184" s="5" t="inlineStr">
        <is>
          <t>องค์บาก (2003, 1982 votes)</t>
        </is>
      </c>
      <c r="Q184" s="5" t="inlineStr">
        <is>
          <t>Ong-Bak (2003)</t>
        </is>
      </c>
      <c r="R184" s="5" t="inlineStr"/>
      <c r="S184" s="5" t="inlineStr"/>
    </row>
    <row r="185">
      <c r="A185" s="3" t="inlineStr">
        <is>
          <t>Timor oriental</t>
        </is>
      </c>
      <c r="B185" s="3" t="inlineStr">
        <is>
          <t>Asie</t>
        </is>
      </c>
      <c r="C185" s="9" t="inlineStr">
        <is>
          <t>C</t>
        </is>
      </c>
      <c r="D185" s="3" t="inlineStr">
        <is>
          <t>faible (choix éditorial, pas d'audience)</t>
        </is>
      </c>
      <c r="E185" s="3" t="inlineStr">
        <is>
          <t>A Guerra da Beatriz</t>
        </is>
      </c>
      <c r="F185" s="3" t="inlineStr">
        <is>
          <t>A Guerra da Beatriz</t>
        </is>
      </c>
      <c r="G185" s="3" t="inlineStr">
        <is>
          <t>2013</t>
        </is>
      </c>
      <c r="H185" s="3" t="inlineStr">
        <is>
          <t>id</t>
        </is>
      </c>
      <c r="I185" s="3" t="inlineStr"/>
      <c r="J185" s="3" t="n">
        <v>101</v>
      </c>
      <c r="K185" s="5" t="inlineStr">
        <is>
          <t>choix « native » de Films Around the World</t>
        </is>
      </c>
      <c r="L185" s="5" t="inlineStr"/>
      <c r="M185" s="6" t="inlineStr">
        <is>
          <t>https://filmsaroundthe.world/country/east-timor/films/beatriz-s-war-fb1c1aa7b9ce8fd0c/</t>
        </is>
      </c>
      <c r="N185" s="6" t="inlineStr">
        <is>
          <t>https://www.themoviedb.org/movie/275008</t>
        </is>
      </c>
      <c r="O185" s="5" t="inlineStr"/>
      <c r="P185" s="5" t="inlineStr">
        <is>
          <t>Silent Drop (, 0 votes)</t>
        </is>
      </c>
      <c r="Q185" s="5" t="inlineStr">
        <is>
          <t>Beatriz's War (2013)</t>
        </is>
      </c>
      <c r="R185" s="5" t="inlineStr"/>
      <c r="S185" s="5" t="inlineStr">
        <is>
          <t>No sourced box office data.</t>
        </is>
      </c>
    </row>
    <row r="186">
      <c r="A186" s="3" t="inlineStr">
        <is>
          <t>Togo</t>
        </is>
      </c>
      <c r="B186" s="3" t="inlineStr">
        <is>
          <t>Afrique</t>
        </is>
      </c>
      <c r="C186" s="9" t="inlineStr">
        <is>
          <t>C</t>
        </is>
      </c>
      <c r="D186" s="3" t="inlineStr">
        <is>
          <t>faible (choix éditorial, pas d'audience)</t>
        </is>
      </c>
      <c r="E186" s="3" t="inlineStr">
        <is>
          <t>Le coup de grâce</t>
        </is>
      </c>
      <c r="F186" s="3" t="inlineStr">
        <is>
          <t>Le coup de grâce</t>
        </is>
      </c>
      <c r="G186" s="3" t="inlineStr">
        <is>
          <t>2022</t>
        </is>
      </c>
      <c r="H186" s="3" t="inlineStr">
        <is>
          <t>fr</t>
        </is>
      </c>
      <c r="I186" s="3" t="inlineStr"/>
      <c r="J186" s="3" t="n">
        <v>105</v>
      </c>
      <c r="K186" s="5" t="inlineStr">
        <is>
          <t>choix « native » de Films Around the World</t>
        </is>
      </c>
      <c r="L186" s="5" t="inlineStr"/>
      <c r="M186" s="6" t="inlineStr">
        <is>
          <t>https://filmsaroundthe.world/country/togo/films/le-coup-de-grace-fc63bbe54e7798945/</t>
        </is>
      </c>
      <c r="N186" s="6" t="inlineStr">
        <is>
          <t>https://www.themoviedb.org/movie/1086356</t>
        </is>
      </c>
      <c r="O186" s="5" t="inlineStr"/>
      <c r="P186" s="5" t="inlineStr">
        <is>
          <t>Mikoko (2025, 2 votes)</t>
        </is>
      </c>
      <c r="Q186" s="5" t="inlineStr">
        <is>
          <t>Le coup de grâce (2022)</t>
        </is>
      </c>
      <c r="R186" s="5" t="inlineStr"/>
      <c r="S186" s="5" t="inlineStr">
        <is>
          <t>pas de box-office national suivi ou publié trouvé</t>
        </is>
      </c>
    </row>
    <row r="187">
      <c r="A187" s="3" t="inlineStr">
        <is>
          <t>Tonga</t>
        </is>
      </c>
      <c r="B187" s="3" t="inlineStr">
        <is>
          <t>Océanie</t>
        </is>
      </c>
      <c r="C187" s="8" t="inlineStr">
        <is>
          <t>D</t>
        </is>
      </c>
      <c r="D187" s="3" t="inlineStr">
        <is>
          <t>très faible (moins de 50 votes)</t>
        </is>
      </c>
      <c r="E187" s="3" t="inlineStr">
        <is>
          <t>Birthright</t>
        </is>
      </c>
      <c r="F187" s="3" t="inlineStr">
        <is>
          <t>Birthright</t>
        </is>
      </c>
      <c r="G187" s="3" t="inlineStr">
        <is>
          <t>2019</t>
        </is>
      </c>
      <c r="H187" s="3" t="inlineStr">
        <is>
          <t>en</t>
        </is>
      </c>
      <c r="I187" s="3" t="inlineStr"/>
      <c r="J187" s="3" t="n">
        <v>15</v>
      </c>
      <c r="K187" s="5" t="inlineStr">
        <is>
          <t>popularité TMDB : 0 votes</t>
        </is>
      </c>
      <c r="L187" s="5" t="inlineStr"/>
      <c r="M187" s="6" t="inlineStr">
        <is>
          <t>https://www.themoviedb.org/movie/798772</t>
        </is>
      </c>
      <c r="N187" s="6" t="inlineStr">
        <is>
          <t>https://www.themoviedb.org/movie/798772</t>
        </is>
      </c>
      <c r="O187" s="5" t="inlineStr"/>
      <c r="P187" s="5" t="inlineStr">
        <is>
          <t>Birthright (2019, 0 votes)</t>
        </is>
      </c>
      <c r="Q187" s="5" t="inlineStr"/>
      <c r="R187" s="5" t="inlineStr"/>
      <c r="S187" s="5" t="inlineStr">
        <is>
          <t>No sourced box office data.</t>
        </is>
      </c>
    </row>
    <row r="188">
      <c r="A188" s="3" t="inlineStr">
        <is>
          <t>Trinité-et-Tobago</t>
        </is>
      </c>
      <c r="B188" s="3" t="inlineStr">
        <is>
          <t>Amériques</t>
        </is>
      </c>
      <c r="C188" s="9" t="inlineStr">
        <is>
          <t>C</t>
        </is>
      </c>
      <c r="D188" s="3" t="inlineStr">
        <is>
          <t>faible (choix éditorial, pas d'audience)</t>
        </is>
      </c>
      <c r="E188" s="3" t="inlineStr">
        <is>
          <t>God Loves the Fighter</t>
        </is>
      </c>
      <c r="F188" s="3" t="inlineStr">
        <is>
          <t>God Loves the Fighter</t>
        </is>
      </c>
      <c r="G188" s="3" t="inlineStr">
        <is>
          <t>2014</t>
        </is>
      </c>
      <c r="H188" s="3" t="inlineStr">
        <is>
          <t>en</t>
        </is>
      </c>
      <c r="I188" s="3" t="inlineStr"/>
      <c r="J188" s="3" t="n">
        <v>104</v>
      </c>
      <c r="K188" s="5" t="inlineStr">
        <is>
          <t>choix « native » de Films Around the World</t>
        </is>
      </c>
      <c r="L188" s="5" t="inlineStr"/>
      <c r="M188" s="6" t="inlineStr">
        <is>
          <t>https://filmsaroundthe.world/country/trinidad-and-tobago/films/god-loves-the-fighter-f665c27028fc8a3c0/</t>
        </is>
      </c>
      <c r="N188" s="6" t="inlineStr">
        <is>
          <t>https://www.themoviedb.org/movie/307631</t>
        </is>
      </c>
      <c r="O188" s="5" t="inlineStr"/>
      <c r="P188" s="5" t="inlineStr">
        <is>
          <t>Green Days by the River (2017, 7 votes)</t>
        </is>
      </c>
      <c r="Q188" s="5" t="inlineStr">
        <is>
          <t>God Loves the Fighter (2014)</t>
        </is>
      </c>
      <c r="R188" s="5" t="inlineStr"/>
      <c r="S188" s="5" t="inlineStr">
        <is>
          <t>Sistagod (2006) décrit comme le film local le plus réussi, sans chiffre. / Aucune donnée sourcée trouvée dans cette passe</t>
        </is>
      </c>
    </row>
    <row r="189">
      <c r="A189" s="3" t="inlineStr">
        <is>
          <t>Tunisie</t>
        </is>
      </c>
      <c r="B189" s="3" t="inlineStr">
        <is>
          <t>Afrique</t>
        </is>
      </c>
      <c r="C189" s="4" t="inlineStr">
        <is>
          <t>B</t>
        </is>
      </c>
      <c r="D189" s="3" t="inlineStr">
        <is>
          <t>moyenne</t>
        </is>
      </c>
      <c r="E189" s="3" t="inlineStr">
        <is>
          <t>صوت هند رجب</t>
        </is>
      </c>
      <c r="F189" s="3" t="inlineStr">
        <is>
          <t>La Voix de Hind Rajab</t>
        </is>
      </c>
      <c r="G189" s="3" t="inlineStr">
        <is>
          <t>2025</t>
        </is>
      </c>
      <c r="H189" s="3" t="inlineStr">
        <is>
          <t>ar</t>
        </is>
      </c>
      <c r="I189" s="3" t="inlineStr"/>
      <c r="J189" s="3" t="n">
        <v>89</v>
      </c>
      <c r="K189" s="5" t="inlineStr">
        <is>
          <t>popularité TMDB : 385 votes</t>
        </is>
      </c>
      <c r="L189" s="5" t="inlineStr">
        <is>
          <t>abonnement : Canal+ ; location : Apple TV Store, Rakuten TV, Canal VOD, Sooner ; achat : Apple TV Store, Rakuten TV, Canal VOD, Sooner</t>
        </is>
      </c>
      <c r="M189" s="6" t="inlineStr">
        <is>
          <t>https://www.themoviedb.org/movie/1480382</t>
        </is>
      </c>
      <c r="N189" s="6" t="inlineStr">
        <is>
          <t>https://www.themoviedb.org/movie/1480382</t>
        </is>
      </c>
      <c r="O189" s="5" t="inlineStr"/>
      <c r="P189" s="5" t="inlineStr">
        <is>
          <t>صوت هند رجب (2025, 385 votes)</t>
        </is>
      </c>
      <c r="Q189" s="5" t="inlineStr">
        <is>
          <t>The Silences of the Palace (1994)</t>
        </is>
      </c>
      <c r="R189" s="5" t="inlineStr"/>
      <c r="S189" s="5" t="inlineStr">
        <is>
          <t>Pas de classement officiel. Meilleur candidat : Dachra (2018, Abdelhamid Bouchnak), ~200 000 entrées en un mois selon ilboursa.com, présenté comme record des 20 dernières années, pas de tous les temps. Concurrent : Halfaouine (1990), « possiblement le plus gros succès de l'histoire du cinéma tunisien » (Wikipedia EN, sans chiffre). Non tranché. / Pas de classement sourcé. Candidat : Les Silences du palais (1994) &gt;300 000 entrées selon BFI ; Halfaouine (1990) cité comme plus grand succès tunisien (Wikipedia).</t>
        </is>
      </c>
    </row>
    <row r="190">
      <c r="A190" s="3" t="inlineStr">
        <is>
          <t>Turkménistan</t>
        </is>
      </c>
      <c r="B190" s="3" t="inlineStr">
        <is>
          <t>Asie</t>
        </is>
      </c>
      <c r="C190" s="9" t="inlineStr">
        <is>
          <t>C</t>
        </is>
      </c>
      <c r="D190" s="3" t="inlineStr">
        <is>
          <t>faible (choix éditorial, pas d'audience)</t>
        </is>
      </c>
      <c r="E190" s="3" t="inlineStr">
        <is>
          <t>Невестка</t>
        </is>
      </c>
      <c r="F190" s="3" t="inlineStr">
        <is>
          <t>Невестка</t>
        </is>
      </c>
      <c r="G190" s="3" t="inlineStr">
        <is>
          <t>1972</t>
        </is>
      </c>
      <c r="H190" s="3" t="inlineStr">
        <is>
          <t>tk</t>
        </is>
      </c>
      <c r="I190" s="3" t="inlineStr"/>
      <c r="J190" s="3" t="n">
        <v>81</v>
      </c>
      <c r="K190" s="5" t="inlineStr">
        <is>
          <t>choix « native » de Films Around the World</t>
        </is>
      </c>
      <c r="L190" s="5" t="inlineStr"/>
      <c r="M190" s="6" t="inlineStr">
        <is>
          <t>https://filmsaroundthe.world/country/turkmenistan/films/the-daughter-in-law-f74630997f93ef780/</t>
        </is>
      </c>
      <c r="N190" s="6" t="inlineStr">
        <is>
          <t>https://www.themoviedb.org/movie/108526</t>
        </is>
      </c>
      <c r="O190" s="5" t="inlineStr"/>
      <c r="P190" s="5" t="inlineStr">
        <is>
          <t>Ангелочек, сделай радость (1993, 10 votes)</t>
        </is>
      </c>
      <c r="Q190" s="5" t="inlineStr">
        <is>
          <t>The Daughter-in-Law (1972)</t>
        </is>
      </c>
      <c r="R190" s="5" t="inlineStr"/>
      <c r="S190" s="5" t="inlineStr">
        <is>
          <t>No sourced box office data.</t>
        </is>
      </c>
    </row>
    <row r="191">
      <c r="A191" s="3" t="inlineStr">
        <is>
          <t>Turquie</t>
        </is>
      </c>
      <c r="B191" s="3" t="inlineStr">
        <is>
          <t>Moyen-Orient</t>
        </is>
      </c>
      <c r="C191" s="7" t="inlineStr">
        <is>
          <t>A</t>
        </is>
      </c>
      <c r="D191" s="3" t="inlineStr">
        <is>
          <t>forte</t>
        </is>
      </c>
      <c r="E191" s="3" t="inlineStr">
        <is>
          <t>Recep İvedik 5</t>
        </is>
      </c>
      <c r="F191" s="3" t="inlineStr">
        <is>
          <t>Recep İvedik 5</t>
        </is>
      </c>
      <c r="G191" s="3" t="inlineStr">
        <is>
          <t>2017</t>
        </is>
      </c>
      <c r="H191" s="3" t="inlineStr">
        <is>
          <t>tr</t>
        </is>
      </c>
      <c r="I191" s="3" t="inlineStr"/>
      <c r="J191" s="3" t="n">
        <v>114</v>
      </c>
      <c r="K191" s="5" t="inlineStr">
        <is>
          <t>entrées : 7437050</t>
        </is>
      </c>
      <c r="L191" s="5" t="inlineStr">
        <is>
          <t>achat : Apple TV Store</t>
        </is>
      </c>
      <c r="M191" s="6" t="inlineStr">
        <is>
          <t>https://tr.wikipedia.org/wiki/En_çok_izlenen_Türk_yapımı_100_film</t>
        </is>
      </c>
      <c r="N191" s="6" t="inlineStr">
        <is>
          <t>https://www.themoviedb.org/movie/438703</t>
        </is>
      </c>
      <c r="O191" s="5" t="inlineStr">
        <is>
          <t>Recep İvedik 4 (2014), 7374931</t>
        </is>
      </c>
      <c r="P191" s="5" t="inlineStr">
        <is>
          <t>7. Koğuştaki Mucize (2019, 4610 votes)</t>
        </is>
      </c>
      <c r="Q191" s="5" t="inlineStr">
        <is>
          <t>Mustang (2015)</t>
        </is>
      </c>
      <c r="R191" s="5" t="inlineStr"/>
      <c r="S191" s="5" t="inlineStr"/>
    </row>
    <row r="192">
      <c r="A192" s="3" t="inlineStr">
        <is>
          <t>Tuvalu</t>
        </is>
      </c>
      <c r="B192" s="3" t="inlineStr">
        <is>
          <t>Océanie</t>
        </is>
      </c>
      <c r="C192" s="8" t="inlineStr">
        <is>
          <t>D</t>
        </is>
      </c>
      <c r="D192" s="3" t="inlineStr">
        <is>
          <t>très faible (moins de 50 votes)</t>
        </is>
      </c>
      <c r="E192" s="3" t="inlineStr">
        <is>
          <t>Warrior Cock</t>
        </is>
      </c>
      <c r="F192" s="3" t="inlineStr">
        <is>
          <t>Warrior Cock</t>
        </is>
      </c>
      <c r="G192" s="3" t="inlineStr">
        <is>
          <t>2011</t>
        </is>
      </c>
      <c r="H192" s="3" t="inlineStr">
        <is>
          <t>en</t>
        </is>
      </c>
      <c r="I192" s="3" t="inlineStr">
        <is>
          <t>oui</t>
        </is>
      </c>
      <c r="J192" s="3" t="n">
        <v>3</v>
      </c>
      <c r="K192" s="5" t="inlineStr">
        <is>
          <t>popularité TMDB : 0 votes</t>
        </is>
      </c>
      <c r="L192" s="5" t="inlineStr"/>
      <c r="M192" s="6" t="inlineStr">
        <is>
          <t>https://www.themoviedb.org/movie/287423</t>
        </is>
      </c>
      <c r="N192" s="6" t="inlineStr">
        <is>
          <t>https://www.themoviedb.org/movie/287423</t>
        </is>
      </c>
      <c r="O192" s="5" t="inlineStr"/>
      <c r="P192" s="5" t="inlineStr">
        <is>
          <t>Warrior Cock (2011, 0 votes)</t>
        </is>
      </c>
      <c r="Q192" s="5" t="inlineStr"/>
      <c r="R192" s="5" t="inlineStr"/>
      <c r="S192" s="5" t="inlineStr">
        <is>
          <t>No sourced box office data.</t>
        </is>
      </c>
    </row>
    <row r="193">
      <c r="A193" s="3" t="inlineStr">
        <is>
          <t>Ukraine</t>
        </is>
      </c>
      <c r="B193" s="3" t="inlineStr">
        <is>
          <t>Europe</t>
        </is>
      </c>
      <c r="C193" s="7" t="inlineStr">
        <is>
          <t>A</t>
        </is>
      </c>
      <c r="D193" s="3" t="inlineStr">
        <is>
          <t>forte</t>
        </is>
      </c>
      <c r="E193" s="3" t="inlineStr">
        <is>
          <t>Скажене весілля</t>
        </is>
      </c>
      <c r="F193" s="3" t="inlineStr">
        <is>
          <t>Скажене весілля</t>
        </is>
      </c>
      <c r="G193" s="3" t="inlineStr">
        <is>
          <t>2018</t>
        </is>
      </c>
      <c r="H193" s="3" t="inlineStr">
        <is>
          <t>uk</t>
        </is>
      </c>
      <c r="I193" s="3" t="inlineStr"/>
      <c r="J193" s="3" t="n">
        <v>90</v>
      </c>
      <c r="K193" s="5" t="inlineStr">
        <is>
          <t>entrées : 657672</t>
        </is>
      </c>
      <c r="L193" s="5" t="inlineStr"/>
      <c r="M193" s="6" t="inlineStr">
        <is>
          <t>https://en.wikipedia.org/wiki/Crazy_Wedding</t>
        </is>
      </c>
      <c r="N193" s="6" t="inlineStr">
        <is>
          <t>https://www.themoviedb.org/movie/552441</t>
        </is>
      </c>
      <c r="O193" s="5" t="inlineStr">
        <is>
          <t>Скажене весілля 2 (2019), 444262</t>
        </is>
      </c>
      <c r="P193" s="5" t="inlineStr">
        <is>
          <t>Снайпер. Білий ворон (2022, 960 votes)</t>
        </is>
      </c>
      <c r="Q193" s="5" t="inlineStr">
        <is>
          <t>Shadows of Forgotten Ancestors (1965)</t>
        </is>
      </c>
      <c r="R193" s="5" t="inlineStr"/>
      <c r="S193" s="5" t="inlineStr">
        <is>
          <t>Post-indépendance.</t>
        </is>
      </c>
    </row>
    <row r="194">
      <c r="A194" s="3" t="inlineStr">
        <is>
          <t>Uruguay</t>
        </is>
      </c>
      <c r="B194" s="3" t="inlineStr">
        <is>
          <t>Amériques</t>
        </is>
      </c>
      <c r="C194" s="7" t="inlineStr">
        <is>
          <t>A</t>
        </is>
      </c>
      <c r="D194" s="3" t="inlineStr">
        <is>
          <t>forte</t>
        </is>
      </c>
      <c r="E194" s="3" t="inlineStr">
        <is>
          <t>En la puta vida</t>
        </is>
      </c>
      <c r="F194" s="3" t="inlineStr">
        <is>
          <t>Putain de vie</t>
        </is>
      </c>
      <c r="G194" s="3" t="inlineStr">
        <is>
          <t>2001</t>
        </is>
      </c>
      <c r="H194" s="3" t="inlineStr">
        <is>
          <t>es</t>
        </is>
      </c>
      <c r="I194" s="3" t="inlineStr"/>
      <c r="J194" s="3" t="n">
        <v>100</v>
      </c>
      <c r="K194" s="5" t="inlineStr">
        <is>
          <t>entrées : environ 145 000</t>
        </is>
      </c>
      <c r="L194" s="5" t="inlineStr"/>
      <c r="M194" s="6" t="inlineStr">
        <is>
          <t>https://www.subrayado.com.uy/uruguay-el-cine-estas-son-las-peliculas-mas-vistas-la-historia-n1016292</t>
        </is>
      </c>
      <c r="N194" s="6" t="inlineStr">
        <is>
          <t>https://www.themoviedb.org/movie/61072</t>
        </is>
      </c>
      <c r="O194" s="5" t="inlineStr">
        <is>
          <t>El baño del Papa (2007), environ 68 000</t>
        </is>
      </c>
      <c r="P194" s="5" t="inlineStr">
        <is>
          <t>Togo (2022, 72 votes)</t>
        </is>
      </c>
      <c r="Q194" s="5" t="inlineStr">
        <is>
          <t>A Twelve-Year Night (2018)</t>
        </is>
      </c>
      <c r="R194" s="5" t="inlineStr"/>
      <c r="S194" s="5" t="inlineStr">
        <is>
          <t>Fourchette 140-150 000 selon les sources (étude Udelar/ICAU/MEC). Le muet de 1933 El pequeño héroe del Arroyo del Oro est estimé à ~150 000 cumulés sur 20 ans, non comparable.</t>
        </is>
      </c>
    </row>
    <row r="195">
      <c r="A195" s="3" t="inlineStr">
        <is>
          <t>Vanuatu</t>
        </is>
      </c>
      <c r="B195" s="3" t="inlineStr">
        <is>
          <t>Océanie</t>
        </is>
      </c>
      <c r="C195" s="8" t="inlineStr">
        <is>
          <t>D</t>
        </is>
      </c>
      <c r="D195" s="3" t="inlineStr">
        <is>
          <t>très faible (moins de 50 votes)</t>
        </is>
      </c>
      <c r="E195" s="3" t="inlineStr">
        <is>
          <t>Kasis Road</t>
        </is>
      </c>
      <c r="F195" s="3" t="inlineStr">
        <is>
          <t>Kasis Road</t>
        </is>
      </c>
      <c r="G195" s="3" t="inlineStr">
        <is>
          <t>1997</t>
        </is>
      </c>
      <c r="H195" s="3" t="inlineStr">
        <is>
          <t>en</t>
        </is>
      </c>
      <c r="I195" s="3" t="inlineStr"/>
      <c r="J195" s="3" t="n">
        <v>83</v>
      </c>
      <c r="K195" s="5" t="inlineStr">
        <is>
          <t>popularité TMDB : 0 votes</t>
        </is>
      </c>
      <c r="L195" s="5" t="inlineStr"/>
      <c r="M195" s="6" t="inlineStr">
        <is>
          <t>https://www.themoviedb.org/movie/933949</t>
        </is>
      </c>
      <c r="N195" s="6" t="inlineStr">
        <is>
          <t>https://www.themoviedb.org/movie/933949</t>
        </is>
      </c>
      <c r="O195" s="5" t="inlineStr"/>
      <c r="P195" s="5" t="inlineStr">
        <is>
          <t>Kasis Road (1997, 0 votes)</t>
        </is>
      </c>
      <c r="Q195" s="5" t="inlineStr"/>
      <c r="R195" s="5" t="inlineStr"/>
      <c r="S195" s="5" t="inlineStr">
        <is>
          <t>No sourced box office data.</t>
        </is>
      </c>
    </row>
    <row r="196">
      <c r="A196" s="3" t="inlineStr">
        <is>
          <t>Venezuela</t>
        </is>
      </c>
      <c r="B196" s="3" t="inlineStr">
        <is>
          <t>Amériques</t>
        </is>
      </c>
      <c r="C196" s="7" t="inlineStr">
        <is>
          <t>A</t>
        </is>
      </c>
      <c r="D196" s="3" t="inlineStr">
        <is>
          <t>forte</t>
        </is>
      </c>
      <c r="E196" s="3" t="inlineStr">
        <is>
          <t>Papita, maní, tostón</t>
        </is>
      </c>
      <c r="F196" s="3" t="inlineStr">
        <is>
          <t>Papita, maní, tostón</t>
        </is>
      </c>
      <c r="G196" s="3" t="inlineStr">
        <is>
          <t>2013</t>
        </is>
      </c>
      <c r="H196" s="3" t="inlineStr">
        <is>
          <t>es</t>
        </is>
      </c>
      <c r="I196" s="3" t="inlineStr"/>
      <c r="J196" s="3" t="n">
        <v>112</v>
      </c>
      <c r="K196" s="5" t="inlineStr">
        <is>
          <t>entrées : 1 900 000</t>
        </is>
      </c>
      <c r="L196" s="5" t="inlineStr">
        <is>
          <t>gratuit : Filmtap ; gratuit pub : Plex, Plex Channel, Filmzie ; location : MovieMe</t>
        </is>
      </c>
      <c r="M196" s="6" t="inlineStr">
        <is>
          <t>https://es.wikipedia.org/wiki/Cine_de_Venezuela</t>
        </is>
      </c>
      <c r="N196" s="6" t="inlineStr">
        <is>
          <t>https://www.themoviedb.org/movie/248424</t>
        </is>
      </c>
      <c r="O196" s="5" t="inlineStr">
        <is>
          <t>Homicidio culposo (1983), 1 300 000</t>
        </is>
      </c>
      <c r="P196" s="5" t="inlineStr">
        <is>
          <t>La casa del fin de los tiempos (2013, 348 votes)</t>
        </is>
      </c>
      <c r="Q196" s="5" t="inlineStr">
        <is>
          <t>The Liberator (2013)</t>
        </is>
      </c>
      <c r="R196" s="5" t="inlineStr"/>
      <c r="S196" s="5" t="inlineStr">
        <is>
          <t>AMBIGU. El Exorcismo de Dios (2022) est cité à 2,1 M mais en entrées internationales, pas domestiques, donc écarté. Chiffres arrondis, source Wikipedia seule.</t>
        </is>
      </c>
    </row>
    <row r="197">
      <c r="A197" s="3" t="inlineStr">
        <is>
          <t>Viêt Nam</t>
        </is>
      </c>
      <c r="B197" s="3" t="inlineStr">
        <is>
          <t>Asie</t>
        </is>
      </c>
      <c r="C197" s="7" t="inlineStr">
        <is>
          <t>A</t>
        </is>
      </c>
      <c r="D197" s="3" t="inlineStr">
        <is>
          <t>forte</t>
        </is>
      </c>
      <c r="E197" s="3" t="inlineStr">
        <is>
          <t>Mưa đỏ</t>
        </is>
      </c>
      <c r="F197" s="3" t="inlineStr">
        <is>
          <t>Mưa đỏ</t>
        </is>
      </c>
      <c r="G197" s="3" t="inlineStr">
        <is>
          <t>2025</t>
        </is>
      </c>
      <c r="H197" s="3" t="inlineStr">
        <is>
          <t>vi</t>
        </is>
      </c>
      <c r="I197" s="3" t="inlineStr"/>
      <c r="J197" s="3" t="n">
        <v>124</v>
      </c>
      <c r="K197" s="5" t="inlineStr">
        <is>
          <t>entrées : 8.88M (₫714bn)</t>
        </is>
      </c>
      <c r="L197" s="5" t="inlineStr"/>
      <c r="M197" s="6" t="inlineStr">
        <is>
          <t>https://en.wikipedia.org/wiki/List_of_highest-grossing_films_in_Vietnam</t>
        </is>
      </c>
      <c r="N197" s="6" t="inlineStr">
        <is>
          <t>https://www.themoviedb.org/movie/1468704</t>
        </is>
      </c>
      <c r="O197" s="5" t="inlineStr">
        <is>
          <t>Mai (2024, 6.90M)</t>
        </is>
      </c>
      <c r="P197" s="5" t="inlineStr">
        <is>
          <t>Hai Phượng (2019, 223 votes)</t>
        </is>
      </c>
      <c r="Q197" s="5" t="inlineStr">
        <is>
          <t>The Scent of Green Papaya (1993)</t>
        </is>
      </c>
      <c r="R197" s="5" t="inlineStr"/>
      <c r="S197" s="5" t="inlineStr"/>
    </row>
    <row r="198">
      <c r="A198" s="3" t="inlineStr">
        <is>
          <t>Yémen</t>
        </is>
      </c>
      <c r="B198" s="3" t="inlineStr">
        <is>
          <t>Moyen-Orient</t>
        </is>
      </c>
      <c r="C198" s="9" t="inlineStr">
        <is>
          <t>C</t>
        </is>
      </c>
      <c r="D198" s="3" t="inlineStr">
        <is>
          <t>faible (choix éditorial, pas d'audience)</t>
        </is>
      </c>
      <c r="E198" s="3" t="inlineStr">
        <is>
          <t>I'm Nojoum, Age 10 and Divorced</t>
        </is>
      </c>
      <c r="F198" s="3" t="inlineStr"/>
      <c r="G198" s="3" t="inlineStr">
        <is>
          <t>2014</t>
        </is>
      </c>
      <c r="H198" s="3" t="inlineStr"/>
      <c r="I198" s="3" t="inlineStr"/>
      <c r="J198" s="3" t="inlineStr"/>
      <c r="K198" s="5" t="inlineStr">
        <is>
          <t>choix « native » de Films Around the World</t>
        </is>
      </c>
      <c r="L198" s="5" t="inlineStr"/>
      <c r="M198" s="6" t="inlineStr">
        <is>
          <t>https://filmsaroundthe.world/country/yemen/films/i-m-nojoum-age-10-and-divorced-f9b86d068ccb9a509/</t>
        </is>
      </c>
      <c r="N198" s="5" t="inlineStr"/>
      <c r="O198" s="5" t="inlineStr"/>
      <c r="P198" s="5" t="inlineStr">
        <is>
          <t>انا نجوم بنت العاشرة ومطلقة (2014, 31 votes)</t>
        </is>
      </c>
      <c r="Q198" s="5" t="inlineStr">
        <is>
          <t>I'm Nojoum, Age 10 and Divorced (2014)</t>
        </is>
      </c>
      <c r="R198" s="5" t="inlineStr"/>
      <c r="S198" s="5" t="inlineStr">
        <is>
          <t>pas de box-office national suivi ou publié trouvé</t>
        </is>
      </c>
    </row>
    <row r="199">
      <c r="A199" s="3" t="inlineStr">
        <is>
          <t>Zambie</t>
        </is>
      </c>
      <c r="B199" s="3" t="inlineStr">
        <is>
          <t>Afrique</t>
        </is>
      </c>
      <c r="C199" s="9" t="inlineStr">
        <is>
          <t>C</t>
        </is>
      </c>
      <c r="D199" s="3" t="inlineStr">
        <is>
          <t>faible (choix éditorial, pas d'audience)</t>
        </is>
      </c>
      <c r="E199" s="3" t="inlineStr">
        <is>
          <t>On Becoming a Guinea Fowl</t>
        </is>
      </c>
      <c r="F199" s="3" t="inlineStr">
        <is>
          <t>On Becoming a Guinea Fowl</t>
        </is>
      </c>
      <c r="G199" s="3" t="inlineStr">
        <is>
          <t>2024</t>
        </is>
      </c>
      <c r="H199" s="3" t="inlineStr">
        <is>
          <t>en</t>
        </is>
      </c>
      <c r="I199" s="3" t="inlineStr"/>
      <c r="J199" s="3" t="n">
        <v>99</v>
      </c>
      <c r="K199" s="5" t="inlineStr">
        <is>
          <t>choix « native » de Films Around the World</t>
        </is>
      </c>
      <c r="L199" s="5" t="inlineStr"/>
      <c r="M199" s="6" t="inlineStr">
        <is>
          <t>https://filmsaroundthe.world/country/zambia/films/on-becoming-a-guinea-fowl-f65047675c0d22ae7/</t>
        </is>
      </c>
      <c r="N199" s="6" t="inlineStr">
        <is>
          <t>https://www.themoviedb.org/movie/1082938</t>
        </is>
      </c>
      <c r="O199" s="5" t="inlineStr"/>
      <c r="P199" s="5" t="inlineStr">
        <is>
          <t>Can You See Us? (2023, 5 votes)</t>
        </is>
      </c>
      <c r="Q199" s="5" t="inlineStr">
        <is>
          <t>On Becoming a Guinea Fowl (2024)</t>
        </is>
      </c>
      <c r="R199" s="5" t="inlineStr"/>
      <c r="S199" s="5" t="inlineStr">
        <is>
          <t>pas de box-office national suivi ou publié trouvé</t>
        </is>
      </c>
    </row>
    <row r="200">
      <c r="A200" s="3" t="inlineStr">
        <is>
          <t>Zimbabwe</t>
        </is>
      </c>
      <c r="B200" s="3" t="inlineStr">
        <is>
          <t>Afrique</t>
        </is>
      </c>
      <c r="C200" s="9" t="inlineStr">
        <is>
          <t>C</t>
        </is>
      </c>
      <c r="D200" s="3" t="inlineStr">
        <is>
          <t>faible (choix éditorial, pas d'audience)</t>
        </is>
      </c>
      <c r="E200" s="3" t="inlineStr">
        <is>
          <t>Flame</t>
        </is>
      </c>
      <c r="F200" s="3" t="inlineStr">
        <is>
          <t>Flame</t>
        </is>
      </c>
      <c r="G200" s="3" t="inlineStr">
        <is>
          <t>1996</t>
        </is>
      </c>
      <c r="H200" s="3" t="inlineStr">
        <is>
          <t>en</t>
        </is>
      </c>
      <c r="I200" s="3" t="inlineStr"/>
      <c r="J200" s="3" t="n">
        <v>87</v>
      </c>
      <c r="K200" s="5" t="inlineStr">
        <is>
          <t>choix « native » de Films Around the World</t>
        </is>
      </c>
      <c r="L200" s="5" t="inlineStr"/>
      <c r="M200" s="6" t="inlineStr">
        <is>
          <t>https://filmsaroundthe.world/country/zimbabwe/films/flame-f48907e7518b3bb59/</t>
        </is>
      </c>
      <c r="N200" s="6" t="inlineStr">
        <is>
          <t>https://www.themoviedb.org/movie/272183</t>
        </is>
      </c>
      <c r="O200" s="5" t="inlineStr"/>
      <c r="P200" s="5" t="inlineStr">
        <is>
          <t>Jit (1990, 7 votes)</t>
        </is>
      </c>
      <c r="Q200" s="5" t="inlineStr">
        <is>
          <t>Flame (1996)</t>
        </is>
      </c>
      <c r="R200" s="5" t="inlineStr"/>
      <c r="S200" s="5" t="inlineStr">
        <is>
          <t>pas de box-office national suivi ou publié trouvé</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M36" r:id="rId68"/>
    <hyperlink xmlns:r="http://schemas.openxmlformats.org/officeDocument/2006/relationships" ref="N36" r:id="rId69"/>
    <hyperlink xmlns:r="http://schemas.openxmlformats.org/officeDocument/2006/relationships" ref="M37" r:id="rId70"/>
    <hyperlink xmlns:r="http://schemas.openxmlformats.org/officeDocument/2006/relationships" ref="N37" r:id="rId71"/>
    <hyperlink xmlns:r="http://schemas.openxmlformats.org/officeDocument/2006/relationships" ref="M38" r:id="rId72"/>
    <hyperlink xmlns:r="http://schemas.openxmlformats.org/officeDocument/2006/relationships" ref="N38" r:id="rId73"/>
    <hyperlink xmlns:r="http://schemas.openxmlformats.org/officeDocument/2006/relationships" ref="M39" r:id="rId74"/>
    <hyperlink xmlns:r="http://schemas.openxmlformats.org/officeDocument/2006/relationships" ref="N39" r:id="rId75"/>
    <hyperlink xmlns:r="http://schemas.openxmlformats.org/officeDocument/2006/relationships" ref="M40" r:id="rId76"/>
    <hyperlink xmlns:r="http://schemas.openxmlformats.org/officeDocument/2006/relationships" ref="N40" r:id="rId77"/>
    <hyperlink xmlns:r="http://schemas.openxmlformats.org/officeDocument/2006/relationships" ref="M41" r:id="rId78"/>
    <hyperlink xmlns:r="http://schemas.openxmlformats.org/officeDocument/2006/relationships" ref="N41" r:id="rId79"/>
    <hyperlink xmlns:r="http://schemas.openxmlformats.org/officeDocument/2006/relationships" ref="M42" r:id="rId80"/>
    <hyperlink xmlns:r="http://schemas.openxmlformats.org/officeDocument/2006/relationships" ref="N42" r:id="rId81"/>
    <hyperlink xmlns:r="http://schemas.openxmlformats.org/officeDocument/2006/relationships" ref="M43" r:id="rId82"/>
    <hyperlink xmlns:r="http://schemas.openxmlformats.org/officeDocument/2006/relationships" ref="N43" r:id="rId83"/>
    <hyperlink xmlns:r="http://schemas.openxmlformats.org/officeDocument/2006/relationships" ref="M44" r:id="rId84"/>
    <hyperlink xmlns:r="http://schemas.openxmlformats.org/officeDocument/2006/relationships" ref="N44" r:id="rId85"/>
    <hyperlink xmlns:r="http://schemas.openxmlformats.org/officeDocument/2006/relationships" ref="M45" r:id="rId86"/>
    <hyperlink xmlns:r="http://schemas.openxmlformats.org/officeDocument/2006/relationships" ref="N45" r:id="rId87"/>
    <hyperlink xmlns:r="http://schemas.openxmlformats.org/officeDocument/2006/relationships" ref="M46" r:id="rId88"/>
    <hyperlink xmlns:r="http://schemas.openxmlformats.org/officeDocument/2006/relationships" ref="N46" r:id="rId89"/>
    <hyperlink xmlns:r="http://schemas.openxmlformats.org/officeDocument/2006/relationships" ref="M47" r:id="rId90"/>
    <hyperlink xmlns:r="http://schemas.openxmlformats.org/officeDocument/2006/relationships" ref="N47" r:id="rId91"/>
    <hyperlink xmlns:r="http://schemas.openxmlformats.org/officeDocument/2006/relationships" ref="M48" r:id="rId92"/>
    <hyperlink xmlns:r="http://schemas.openxmlformats.org/officeDocument/2006/relationships" ref="N48" r:id="rId93"/>
    <hyperlink xmlns:r="http://schemas.openxmlformats.org/officeDocument/2006/relationships" ref="M49" r:id="rId94"/>
    <hyperlink xmlns:r="http://schemas.openxmlformats.org/officeDocument/2006/relationships" ref="N49" r:id="rId95"/>
    <hyperlink xmlns:r="http://schemas.openxmlformats.org/officeDocument/2006/relationships" ref="M50" r:id="rId96"/>
    <hyperlink xmlns:r="http://schemas.openxmlformats.org/officeDocument/2006/relationships" ref="N50" r:id="rId97"/>
    <hyperlink xmlns:r="http://schemas.openxmlformats.org/officeDocument/2006/relationships" ref="M51" r:id="rId98"/>
    <hyperlink xmlns:r="http://schemas.openxmlformats.org/officeDocument/2006/relationships" ref="N51" r:id="rId99"/>
    <hyperlink xmlns:r="http://schemas.openxmlformats.org/officeDocument/2006/relationships" ref="M52" r:id="rId100"/>
    <hyperlink xmlns:r="http://schemas.openxmlformats.org/officeDocument/2006/relationships" ref="N52" r:id="rId101"/>
    <hyperlink xmlns:r="http://schemas.openxmlformats.org/officeDocument/2006/relationships" ref="M53" r:id="rId102"/>
    <hyperlink xmlns:r="http://schemas.openxmlformats.org/officeDocument/2006/relationships" ref="N53" r:id="rId103"/>
    <hyperlink xmlns:r="http://schemas.openxmlformats.org/officeDocument/2006/relationships" ref="M54" r:id="rId104"/>
    <hyperlink xmlns:r="http://schemas.openxmlformats.org/officeDocument/2006/relationships" ref="N54" r:id="rId105"/>
    <hyperlink xmlns:r="http://schemas.openxmlformats.org/officeDocument/2006/relationships" ref="M55"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M74" r:id="rId143"/>
    <hyperlink xmlns:r="http://schemas.openxmlformats.org/officeDocument/2006/relationships" ref="N74" r:id="rId144"/>
    <hyperlink xmlns:r="http://schemas.openxmlformats.org/officeDocument/2006/relationships" ref="M75" r:id="rId145"/>
    <hyperlink xmlns:r="http://schemas.openxmlformats.org/officeDocument/2006/relationships" ref="N75" r:id="rId146"/>
    <hyperlink xmlns:r="http://schemas.openxmlformats.org/officeDocument/2006/relationships" ref="M76" r:id="rId147"/>
    <hyperlink xmlns:r="http://schemas.openxmlformats.org/officeDocument/2006/relationships" ref="N76" r:id="rId148"/>
    <hyperlink xmlns:r="http://schemas.openxmlformats.org/officeDocument/2006/relationships" ref="M77" r:id="rId149"/>
    <hyperlink xmlns:r="http://schemas.openxmlformats.org/officeDocument/2006/relationships" ref="N77" r:id="rId150"/>
    <hyperlink xmlns:r="http://schemas.openxmlformats.org/officeDocument/2006/relationships" ref="M78" r:id="rId151"/>
    <hyperlink xmlns:r="http://schemas.openxmlformats.org/officeDocument/2006/relationships" ref="N78" r:id="rId152"/>
    <hyperlink xmlns:r="http://schemas.openxmlformats.org/officeDocument/2006/relationships" ref="M79" r:id="rId153"/>
    <hyperlink xmlns:r="http://schemas.openxmlformats.org/officeDocument/2006/relationships" ref="N79" r:id="rId154"/>
    <hyperlink xmlns:r="http://schemas.openxmlformats.org/officeDocument/2006/relationships" ref="M80" r:id="rId155"/>
    <hyperlink xmlns:r="http://schemas.openxmlformats.org/officeDocument/2006/relationships" ref="N80" r:id="rId156"/>
    <hyperlink xmlns:r="http://schemas.openxmlformats.org/officeDocument/2006/relationships" ref="M81" r:id="rId157"/>
    <hyperlink xmlns:r="http://schemas.openxmlformats.org/officeDocument/2006/relationships" ref="N81" r:id="rId158"/>
    <hyperlink xmlns:r="http://schemas.openxmlformats.org/officeDocument/2006/relationships" ref="M82" r:id="rId159"/>
    <hyperlink xmlns:r="http://schemas.openxmlformats.org/officeDocument/2006/relationships" ref="N82" r:id="rId160"/>
    <hyperlink xmlns:r="http://schemas.openxmlformats.org/officeDocument/2006/relationships" ref="M83" r:id="rId161"/>
    <hyperlink xmlns:r="http://schemas.openxmlformats.org/officeDocument/2006/relationships" ref="N83" r:id="rId162"/>
    <hyperlink xmlns:r="http://schemas.openxmlformats.org/officeDocument/2006/relationships" ref="M84" r:id="rId163"/>
    <hyperlink xmlns:r="http://schemas.openxmlformats.org/officeDocument/2006/relationships" ref="N84" r:id="rId164"/>
    <hyperlink xmlns:r="http://schemas.openxmlformats.org/officeDocument/2006/relationships" ref="M85" r:id="rId165"/>
    <hyperlink xmlns:r="http://schemas.openxmlformats.org/officeDocument/2006/relationships" ref="N85" r:id="rId166"/>
    <hyperlink xmlns:r="http://schemas.openxmlformats.org/officeDocument/2006/relationships" ref="M86" r:id="rId167"/>
    <hyperlink xmlns:r="http://schemas.openxmlformats.org/officeDocument/2006/relationships" ref="N86" r:id="rId168"/>
    <hyperlink xmlns:r="http://schemas.openxmlformats.org/officeDocument/2006/relationships" ref="M87" r:id="rId169"/>
    <hyperlink xmlns:r="http://schemas.openxmlformats.org/officeDocument/2006/relationships" ref="N87" r:id="rId170"/>
    <hyperlink xmlns:r="http://schemas.openxmlformats.org/officeDocument/2006/relationships" ref="M88" r:id="rId171"/>
    <hyperlink xmlns:r="http://schemas.openxmlformats.org/officeDocument/2006/relationships" ref="N88" r:id="rId172"/>
    <hyperlink xmlns:r="http://schemas.openxmlformats.org/officeDocument/2006/relationships" ref="M89" r:id="rId173"/>
    <hyperlink xmlns:r="http://schemas.openxmlformats.org/officeDocument/2006/relationships" ref="N89" r:id="rId174"/>
    <hyperlink xmlns:r="http://schemas.openxmlformats.org/officeDocument/2006/relationships" ref="M90" r:id="rId175"/>
    <hyperlink xmlns:r="http://schemas.openxmlformats.org/officeDocument/2006/relationships" ref="N90" r:id="rId176"/>
    <hyperlink xmlns:r="http://schemas.openxmlformats.org/officeDocument/2006/relationships" ref="M91" r:id="rId177"/>
    <hyperlink xmlns:r="http://schemas.openxmlformats.org/officeDocument/2006/relationships" ref="N91" r:id="rId178"/>
    <hyperlink xmlns:r="http://schemas.openxmlformats.org/officeDocument/2006/relationships" ref="M92" r:id="rId179"/>
    <hyperlink xmlns:r="http://schemas.openxmlformats.org/officeDocument/2006/relationships" ref="N92" r:id="rId180"/>
    <hyperlink xmlns:r="http://schemas.openxmlformats.org/officeDocument/2006/relationships" ref="M93" r:id="rId181"/>
    <hyperlink xmlns:r="http://schemas.openxmlformats.org/officeDocument/2006/relationships" ref="N93" r:id="rId182"/>
    <hyperlink xmlns:r="http://schemas.openxmlformats.org/officeDocument/2006/relationships" ref="M94" r:id="rId183"/>
    <hyperlink xmlns:r="http://schemas.openxmlformats.org/officeDocument/2006/relationships" ref="N94" r:id="rId184"/>
    <hyperlink xmlns:r="http://schemas.openxmlformats.org/officeDocument/2006/relationships" ref="M95" r:id="rId185"/>
    <hyperlink xmlns:r="http://schemas.openxmlformats.org/officeDocument/2006/relationships" ref="N95" r:id="rId186"/>
    <hyperlink xmlns:r="http://schemas.openxmlformats.org/officeDocument/2006/relationships" ref="M96" r:id="rId187"/>
    <hyperlink xmlns:r="http://schemas.openxmlformats.org/officeDocument/2006/relationships" ref="N96" r:id="rId188"/>
    <hyperlink xmlns:r="http://schemas.openxmlformats.org/officeDocument/2006/relationships" ref="M97" r:id="rId189"/>
    <hyperlink xmlns:r="http://schemas.openxmlformats.org/officeDocument/2006/relationships" ref="N97" r:id="rId190"/>
    <hyperlink xmlns:r="http://schemas.openxmlformats.org/officeDocument/2006/relationships" ref="M98" r:id="rId191"/>
    <hyperlink xmlns:r="http://schemas.openxmlformats.org/officeDocument/2006/relationships" ref="N98" r:id="rId192"/>
    <hyperlink xmlns:r="http://schemas.openxmlformats.org/officeDocument/2006/relationships" ref="M99" r:id="rId193"/>
    <hyperlink xmlns:r="http://schemas.openxmlformats.org/officeDocument/2006/relationships" ref="N99" r:id="rId194"/>
    <hyperlink xmlns:r="http://schemas.openxmlformats.org/officeDocument/2006/relationships" ref="M100" r:id="rId195"/>
    <hyperlink xmlns:r="http://schemas.openxmlformats.org/officeDocument/2006/relationships" ref="N100" r:id="rId196"/>
    <hyperlink xmlns:r="http://schemas.openxmlformats.org/officeDocument/2006/relationships" ref="M101" r:id="rId197"/>
    <hyperlink xmlns:r="http://schemas.openxmlformats.org/officeDocument/2006/relationships" ref="N101" r:id="rId198"/>
    <hyperlink xmlns:r="http://schemas.openxmlformats.org/officeDocument/2006/relationships" ref="M102" r:id="rId199"/>
    <hyperlink xmlns:r="http://schemas.openxmlformats.org/officeDocument/2006/relationships" ref="N102" r:id="rId200"/>
    <hyperlink xmlns:r="http://schemas.openxmlformats.org/officeDocument/2006/relationships" ref="M103" r:id="rId201"/>
    <hyperlink xmlns:r="http://schemas.openxmlformats.org/officeDocument/2006/relationships" ref="N103" r:id="rId202"/>
    <hyperlink xmlns:r="http://schemas.openxmlformats.org/officeDocument/2006/relationships" ref="M104" r:id="rId203"/>
    <hyperlink xmlns:r="http://schemas.openxmlformats.org/officeDocument/2006/relationships" ref="N104" r:id="rId204"/>
    <hyperlink xmlns:r="http://schemas.openxmlformats.org/officeDocument/2006/relationships" ref="M105" r:id="rId205"/>
    <hyperlink xmlns:r="http://schemas.openxmlformats.org/officeDocument/2006/relationships" ref="N105" r:id="rId206"/>
    <hyperlink xmlns:r="http://schemas.openxmlformats.org/officeDocument/2006/relationships" ref="M106" r:id="rId207"/>
    <hyperlink xmlns:r="http://schemas.openxmlformats.org/officeDocument/2006/relationships" ref="N106" r:id="rId208"/>
    <hyperlink xmlns:r="http://schemas.openxmlformats.org/officeDocument/2006/relationships" ref="M107" r:id="rId209"/>
    <hyperlink xmlns:r="http://schemas.openxmlformats.org/officeDocument/2006/relationships" ref="N107" r:id="rId210"/>
    <hyperlink xmlns:r="http://schemas.openxmlformats.org/officeDocument/2006/relationships" ref="M108" r:id="rId211"/>
    <hyperlink xmlns:r="http://schemas.openxmlformats.org/officeDocument/2006/relationships" ref="N108" r:id="rId212"/>
    <hyperlink xmlns:r="http://schemas.openxmlformats.org/officeDocument/2006/relationships" ref="M109" r:id="rId213"/>
    <hyperlink xmlns:r="http://schemas.openxmlformats.org/officeDocument/2006/relationships" ref="N109" r:id="rId214"/>
    <hyperlink xmlns:r="http://schemas.openxmlformats.org/officeDocument/2006/relationships" ref="M110" r:id="rId215"/>
    <hyperlink xmlns:r="http://schemas.openxmlformats.org/officeDocument/2006/relationships" ref="N110" r:id="rId216"/>
    <hyperlink xmlns:r="http://schemas.openxmlformats.org/officeDocument/2006/relationships" ref="M111" r:id="rId217"/>
    <hyperlink xmlns:r="http://schemas.openxmlformats.org/officeDocument/2006/relationships" ref="N111" r:id="rId218"/>
    <hyperlink xmlns:r="http://schemas.openxmlformats.org/officeDocument/2006/relationships" ref="M112" r:id="rId219"/>
    <hyperlink xmlns:r="http://schemas.openxmlformats.org/officeDocument/2006/relationships" ref="N112" r:id="rId220"/>
    <hyperlink xmlns:r="http://schemas.openxmlformats.org/officeDocument/2006/relationships" ref="M113" r:id="rId221"/>
    <hyperlink xmlns:r="http://schemas.openxmlformats.org/officeDocument/2006/relationships" ref="N113" r:id="rId222"/>
    <hyperlink xmlns:r="http://schemas.openxmlformats.org/officeDocument/2006/relationships" ref="M114" r:id="rId223"/>
    <hyperlink xmlns:r="http://schemas.openxmlformats.org/officeDocument/2006/relationships" ref="N114" r:id="rId224"/>
    <hyperlink xmlns:r="http://schemas.openxmlformats.org/officeDocument/2006/relationships" ref="M115" r:id="rId225"/>
    <hyperlink xmlns:r="http://schemas.openxmlformats.org/officeDocument/2006/relationships" ref="N115" r:id="rId226"/>
    <hyperlink xmlns:r="http://schemas.openxmlformats.org/officeDocument/2006/relationships" ref="M116" r:id="rId227"/>
    <hyperlink xmlns:r="http://schemas.openxmlformats.org/officeDocument/2006/relationships" ref="N116" r:id="rId228"/>
    <hyperlink xmlns:r="http://schemas.openxmlformats.org/officeDocument/2006/relationships" ref="M117" r:id="rId229"/>
    <hyperlink xmlns:r="http://schemas.openxmlformats.org/officeDocument/2006/relationships" ref="N117" r:id="rId230"/>
    <hyperlink xmlns:r="http://schemas.openxmlformats.org/officeDocument/2006/relationships" ref="M118" r:id="rId231"/>
    <hyperlink xmlns:r="http://schemas.openxmlformats.org/officeDocument/2006/relationships" ref="M119" r:id="rId232"/>
    <hyperlink xmlns:r="http://schemas.openxmlformats.org/officeDocument/2006/relationships" ref="N119" r:id="rId233"/>
    <hyperlink xmlns:r="http://schemas.openxmlformats.org/officeDocument/2006/relationships" ref="M120" r:id="rId234"/>
    <hyperlink xmlns:r="http://schemas.openxmlformats.org/officeDocument/2006/relationships" ref="N120" r:id="rId235"/>
    <hyperlink xmlns:r="http://schemas.openxmlformats.org/officeDocument/2006/relationships" ref="M122" r:id="rId236"/>
    <hyperlink xmlns:r="http://schemas.openxmlformats.org/officeDocument/2006/relationships" ref="N122" r:id="rId237"/>
    <hyperlink xmlns:r="http://schemas.openxmlformats.org/officeDocument/2006/relationships" ref="M123" r:id="rId238"/>
    <hyperlink xmlns:r="http://schemas.openxmlformats.org/officeDocument/2006/relationships" ref="N123" r:id="rId239"/>
    <hyperlink xmlns:r="http://schemas.openxmlformats.org/officeDocument/2006/relationships" ref="M124" r:id="rId240"/>
    <hyperlink xmlns:r="http://schemas.openxmlformats.org/officeDocument/2006/relationships" ref="N124" r:id="rId241"/>
    <hyperlink xmlns:r="http://schemas.openxmlformats.org/officeDocument/2006/relationships" ref="M125" r:id="rId242"/>
    <hyperlink xmlns:r="http://schemas.openxmlformats.org/officeDocument/2006/relationships" ref="N125" r:id="rId243"/>
    <hyperlink xmlns:r="http://schemas.openxmlformats.org/officeDocument/2006/relationships" ref="M126" r:id="rId244"/>
    <hyperlink xmlns:r="http://schemas.openxmlformats.org/officeDocument/2006/relationships" ref="N126" r:id="rId245"/>
    <hyperlink xmlns:r="http://schemas.openxmlformats.org/officeDocument/2006/relationships" ref="M127" r:id="rId246"/>
    <hyperlink xmlns:r="http://schemas.openxmlformats.org/officeDocument/2006/relationships" ref="N127" r:id="rId247"/>
    <hyperlink xmlns:r="http://schemas.openxmlformats.org/officeDocument/2006/relationships" ref="M128" r:id="rId248"/>
    <hyperlink xmlns:r="http://schemas.openxmlformats.org/officeDocument/2006/relationships" ref="N128" r:id="rId249"/>
    <hyperlink xmlns:r="http://schemas.openxmlformats.org/officeDocument/2006/relationships" ref="M129" r:id="rId250"/>
    <hyperlink xmlns:r="http://schemas.openxmlformats.org/officeDocument/2006/relationships" ref="N129" r:id="rId251"/>
    <hyperlink xmlns:r="http://schemas.openxmlformats.org/officeDocument/2006/relationships" ref="M130" r:id="rId252"/>
    <hyperlink xmlns:r="http://schemas.openxmlformats.org/officeDocument/2006/relationships" ref="N130" r:id="rId253"/>
    <hyperlink xmlns:r="http://schemas.openxmlformats.org/officeDocument/2006/relationships" ref="M131" r:id="rId254"/>
    <hyperlink xmlns:r="http://schemas.openxmlformats.org/officeDocument/2006/relationships" ref="N131" r:id="rId255"/>
    <hyperlink xmlns:r="http://schemas.openxmlformats.org/officeDocument/2006/relationships" ref="M132" r:id="rId256"/>
    <hyperlink xmlns:r="http://schemas.openxmlformats.org/officeDocument/2006/relationships" ref="N132" r:id="rId257"/>
    <hyperlink xmlns:r="http://schemas.openxmlformats.org/officeDocument/2006/relationships" ref="M133" r:id="rId258"/>
    <hyperlink xmlns:r="http://schemas.openxmlformats.org/officeDocument/2006/relationships" ref="N133" r:id="rId259"/>
    <hyperlink xmlns:r="http://schemas.openxmlformats.org/officeDocument/2006/relationships" ref="M134" r:id="rId260"/>
    <hyperlink xmlns:r="http://schemas.openxmlformats.org/officeDocument/2006/relationships" ref="N134" r:id="rId261"/>
    <hyperlink xmlns:r="http://schemas.openxmlformats.org/officeDocument/2006/relationships" ref="M135" r:id="rId262"/>
    <hyperlink xmlns:r="http://schemas.openxmlformats.org/officeDocument/2006/relationships" ref="N135" r:id="rId263"/>
    <hyperlink xmlns:r="http://schemas.openxmlformats.org/officeDocument/2006/relationships" ref="M136" r:id="rId264"/>
    <hyperlink xmlns:r="http://schemas.openxmlformats.org/officeDocument/2006/relationships" ref="N136" r:id="rId265"/>
    <hyperlink xmlns:r="http://schemas.openxmlformats.org/officeDocument/2006/relationships" ref="M137" r:id="rId266"/>
    <hyperlink xmlns:r="http://schemas.openxmlformats.org/officeDocument/2006/relationships" ref="N137" r:id="rId267"/>
    <hyperlink xmlns:r="http://schemas.openxmlformats.org/officeDocument/2006/relationships" ref="M138" r:id="rId268"/>
    <hyperlink xmlns:r="http://schemas.openxmlformats.org/officeDocument/2006/relationships" ref="N138" r:id="rId269"/>
    <hyperlink xmlns:r="http://schemas.openxmlformats.org/officeDocument/2006/relationships" ref="M140" r:id="rId270"/>
    <hyperlink xmlns:r="http://schemas.openxmlformats.org/officeDocument/2006/relationships" ref="N140" r:id="rId271"/>
    <hyperlink xmlns:r="http://schemas.openxmlformats.org/officeDocument/2006/relationships" ref="M141" r:id="rId272"/>
    <hyperlink xmlns:r="http://schemas.openxmlformats.org/officeDocument/2006/relationships" ref="N141" r:id="rId273"/>
    <hyperlink xmlns:r="http://schemas.openxmlformats.org/officeDocument/2006/relationships" ref="M142" r:id="rId274"/>
    <hyperlink xmlns:r="http://schemas.openxmlformats.org/officeDocument/2006/relationships" ref="N142" r:id="rId275"/>
    <hyperlink xmlns:r="http://schemas.openxmlformats.org/officeDocument/2006/relationships" ref="M143" r:id="rId276"/>
    <hyperlink xmlns:r="http://schemas.openxmlformats.org/officeDocument/2006/relationships" ref="N143" r:id="rId277"/>
    <hyperlink xmlns:r="http://schemas.openxmlformats.org/officeDocument/2006/relationships" ref="M144" r:id="rId278"/>
    <hyperlink xmlns:r="http://schemas.openxmlformats.org/officeDocument/2006/relationships" ref="N144" r:id="rId279"/>
    <hyperlink xmlns:r="http://schemas.openxmlformats.org/officeDocument/2006/relationships" ref="M145" r:id="rId280"/>
    <hyperlink xmlns:r="http://schemas.openxmlformats.org/officeDocument/2006/relationships" ref="N145" r:id="rId281"/>
    <hyperlink xmlns:r="http://schemas.openxmlformats.org/officeDocument/2006/relationships" ref="M146" r:id="rId282"/>
    <hyperlink xmlns:r="http://schemas.openxmlformats.org/officeDocument/2006/relationships" ref="N146" r:id="rId283"/>
    <hyperlink xmlns:r="http://schemas.openxmlformats.org/officeDocument/2006/relationships" ref="M147" r:id="rId284"/>
    <hyperlink xmlns:r="http://schemas.openxmlformats.org/officeDocument/2006/relationships" ref="N147" r:id="rId285"/>
    <hyperlink xmlns:r="http://schemas.openxmlformats.org/officeDocument/2006/relationships" ref="M148" r:id="rId286"/>
    <hyperlink xmlns:r="http://schemas.openxmlformats.org/officeDocument/2006/relationships" ref="N148" r:id="rId287"/>
    <hyperlink xmlns:r="http://schemas.openxmlformats.org/officeDocument/2006/relationships" ref="M149" r:id="rId288"/>
    <hyperlink xmlns:r="http://schemas.openxmlformats.org/officeDocument/2006/relationships" ref="N149" r:id="rId289"/>
    <hyperlink xmlns:r="http://schemas.openxmlformats.org/officeDocument/2006/relationships" ref="M150" r:id="rId290"/>
    <hyperlink xmlns:r="http://schemas.openxmlformats.org/officeDocument/2006/relationships" ref="N150" r:id="rId291"/>
    <hyperlink xmlns:r="http://schemas.openxmlformats.org/officeDocument/2006/relationships" ref="M151" r:id="rId292"/>
    <hyperlink xmlns:r="http://schemas.openxmlformats.org/officeDocument/2006/relationships" ref="N151" r:id="rId293"/>
    <hyperlink xmlns:r="http://schemas.openxmlformats.org/officeDocument/2006/relationships" ref="M152" r:id="rId294"/>
    <hyperlink xmlns:r="http://schemas.openxmlformats.org/officeDocument/2006/relationships" ref="N152" r:id="rId295"/>
    <hyperlink xmlns:r="http://schemas.openxmlformats.org/officeDocument/2006/relationships" ref="M153" r:id="rId296"/>
    <hyperlink xmlns:r="http://schemas.openxmlformats.org/officeDocument/2006/relationships" ref="N153" r:id="rId297"/>
    <hyperlink xmlns:r="http://schemas.openxmlformats.org/officeDocument/2006/relationships" ref="M154" r:id="rId298"/>
    <hyperlink xmlns:r="http://schemas.openxmlformats.org/officeDocument/2006/relationships" ref="N154" r:id="rId299"/>
    <hyperlink xmlns:r="http://schemas.openxmlformats.org/officeDocument/2006/relationships" ref="M155" r:id="rId300"/>
    <hyperlink xmlns:r="http://schemas.openxmlformats.org/officeDocument/2006/relationships" ref="N155" r:id="rId301"/>
    <hyperlink xmlns:r="http://schemas.openxmlformats.org/officeDocument/2006/relationships" ref="M157" r:id="rId302"/>
    <hyperlink xmlns:r="http://schemas.openxmlformats.org/officeDocument/2006/relationships" ref="N157" r:id="rId303"/>
    <hyperlink xmlns:r="http://schemas.openxmlformats.org/officeDocument/2006/relationships" ref="M158" r:id="rId304"/>
    <hyperlink xmlns:r="http://schemas.openxmlformats.org/officeDocument/2006/relationships" ref="N158" r:id="rId305"/>
    <hyperlink xmlns:r="http://schemas.openxmlformats.org/officeDocument/2006/relationships" ref="M159" r:id="rId306"/>
    <hyperlink xmlns:r="http://schemas.openxmlformats.org/officeDocument/2006/relationships" ref="N159" r:id="rId307"/>
    <hyperlink xmlns:r="http://schemas.openxmlformats.org/officeDocument/2006/relationships" ref="M160" r:id="rId308"/>
    <hyperlink xmlns:r="http://schemas.openxmlformats.org/officeDocument/2006/relationships" ref="N160" r:id="rId309"/>
    <hyperlink xmlns:r="http://schemas.openxmlformats.org/officeDocument/2006/relationships" ref="M161" r:id="rId310"/>
    <hyperlink xmlns:r="http://schemas.openxmlformats.org/officeDocument/2006/relationships" ref="N161" r:id="rId311"/>
    <hyperlink xmlns:r="http://schemas.openxmlformats.org/officeDocument/2006/relationships" ref="M162" r:id="rId312"/>
    <hyperlink xmlns:r="http://schemas.openxmlformats.org/officeDocument/2006/relationships" ref="N162" r:id="rId313"/>
    <hyperlink xmlns:r="http://schemas.openxmlformats.org/officeDocument/2006/relationships" ref="M163" r:id="rId314"/>
    <hyperlink xmlns:r="http://schemas.openxmlformats.org/officeDocument/2006/relationships" ref="M164" r:id="rId315"/>
    <hyperlink xmlns:r="http://schemas.openxmlformats.org/officeDocument/2006/relationships" ref="N164" r:id="rId316"/>
    <hyperlink xmlns:r="http://schemas.openxmlformats.org/officeDocument/2006/relationships" ref="M165" r:id="rId317"/>
    <hyperlink xmlns:r="http://schemas.openxmlformats.org/officeDocument/2006/relationships" ref="N165" r:id="rId318"/>
    <hyperlink xmlns:r="http://schemas.openxmlformats.org/officeDocument/2006/relationships" ref="M166" r:id="rId319"/>
    <hyperlink xmlns:r="http://schemas.openxmlformats.org/officeDocument/2006/relationships" ref="N166" r:id="rId320"/>
    <hyperlink xmlns:r="http://schemas.openxmlformats.org/officeDocument/2006/relationships" ref="M167" r:id="rId321"/>
    <hyperlink xmlns:r="http://schemas.openxmlformats.org/officeDocument/2006/relationships" ref="N167" r:id="rId322"/>
    <hyperlink xmlns:r="http://schemas.openxmlformats.org/officeDocument/2006/relationships" ref="M168" r:id="rId323"/>
    <hyperlink xmlns:r="http://schemas.openxmlformats.org/officeDocument/2006/relationships" ref="N168" r:id="rId324"/>
    <hyperlink xmlns:r="http://schemas.openxmlformats.org/officeDocument/2006/relationships" ref="M169" r:id="rId325"/>
    <hyperlink xmlns:r="http://schemas.openxmlformats.org/officeDocument/2006/relationships" ref="N169" r:id="rId326"/>
    <hyperlink xmlns:r="http://schemas.openxmlformats.org/officeDocument/2006/relationships" ref="M170" r:id="rId327"/>
    <hyperlink xmlns:r="http://schemas.openxmlformats.org/officeDocument/2006/relationships" ref="N170" r:id="rId328"/>
    <hyperlink xmlns:r="http://schemas.openxmlformats.org/officeDocument/2006/relationships" ref="M171" r:id="rId329"/>
    <hyperlink xmlns:r="http://schemas.openxmlformats.org/officeDocument/2006/relationships" ref="N171" r:id="rId330"/>
    <hyperlink xmlns:r="http://schemas.openxmlformats.org/officeDocument/2006/relationships" ref="M172" r:id="rId331"/>
    <hyperlink xmlns:r="http://schemas.openxmlformats.org/officeDocument/2006/relationships" ref="N172" r:id="rId332"/>
    <hyperlink xmlns:r="http://schemas.openxmlformats.org/officeDocument/2006/relationships" ref="M173" r:id="rId333"/>
    <hyperlink xmlns:r="http://schemas.openxmlformats.org/officeDocument/2006/relationships" ref="N173" r:id="rId334"/>
    <hyperlink xmlns:r="http://schemas.openxmlformats.org/officeDocument/2006/relationships" ref="M174" r:id="rId335"/>
    <hyperlink xmlns:r="http://schemas.openxmlformats.org/officeDocument/2006/relationships" ref="N174" r:id="rId336"/>
    <hyperlink xmlns:r="http://schemas.openxmlformats.org/officeDocument/2006/relationships" ref="M175" r:id="rId337"/>
    <hyperlink xmlns:r="http://schemas.openxmlformats.org/officeDocument/2006/relationships" ref="N175" r:id="rId338"/>
    <hyperlink xmlns:r="http://schemas.openxmlformats.org/officeDocument/2006/relationships" ref="M176" r:id="rId339"/>
    <hyperlink xmlns:r="http://schemas.openxmlformats.org/officeDocument/2006/relationships" ref="N176" r:id="rId340"/>
    <hyperlink xmlns:r="http://schemas.openxmlformats.org/officeDocument/2006/relationships" ref="M177" r:id="rId341"/>
    <hyperlink xmlns:r="http://schemas.openxmlformats.org/officeDocument/2006/relationships" ref="N177" r:id="rId342"/>
    <hyperlink xmlns:r="http://schemas.openxmlformats.org/officeDocument/2006/relationships" ref="M178" r:id="rId343"/>
    <hyperlink xmlns:r="http://schemas.openxmlformats.org/officeDocument/2006/relationships" ref="N178" r:id="rId344"/>
    <hyperlink xmlns:r="http://schemas.openxmlformats.org/officeDocument/2006/relationships" ref="M179" r:id="rId345"/>
    <hyperlink xmlns:r="http://schemas.openxmlformats.org/officeDocument/2006/relationships" ref="N179" r:id="rId346"/>
    <hyperlink xmlns:r="http://schemas.openxmlformats.org/officeDocument/2006/relationships" ref="M180" r:id="rId347"/>
    <hyperlink xmlns:r="http://schemas.openxmlformats.org/officeDocument/2006/relationships" ref="N180" r:id="rId348"/>
    <hyperlink xmlns:r="http://schemas.openxmlformats.org/officeDocument/2006/relationships" ref="M181" r:id="rId349"/>
    <hyperlink xmlns:r="http://schemas.openxmlformats.org/officeDocument/2006/relationships" ref="N181" r:id="rId350"/>
    <hyperlink xmlns:r="http://schemas.openxmlformats.org/officeDocument/2006/relationships" ref="M182" r:id="rId351"/>
    <hyperlink xmlns:r="http://schemas.openxmlformats.org/officeDocument/2006/relationships" ref="M183" r:id="rId352"/>
    <hyperlink xmlns:r="http://schemas.openxmlformats.org/officeDocument/2006/relationships" ref="N183" r:id="rId353"/>
    <hyperlink xmlns:r="http://schemas.openxmlformats.org/officeDocument/2006/relationships" ref="M184" r:id="rId354"/>
    <hyperlink xmlns:r="http://schemas.openxmlformats.org/officeDocument/2006/relationships" ref="N184" r:id="rId355"/>
    <hyperlink xmlns:r="http://schemas.openxmlformats.org/officeDocument/2006/relationships" ref="M185" r:id="rId356"/>
    <hyperlink xmlns:r="http://schemas.openxmlformats.org/officeDocument/2006/relationships" ref="N185" r:id="rId357"/>
    <hyperlink xmlns:r="http://schemas.openxmlformats.org/officeDocument/2006/relationships" ref="M186" r:id="rId358"/>
    <hyperlink xmlns:r="http://schemas.openxmlformats.org/officeDocument/2006/relationships" ref="N186" r:id="rId359"/>
    <hyperlink xmlns:r="http://schemas.openxmlformats.org/officeDocument/2006/relationships" ref="M187" r:id="rId360"/>
    <hyperlink xmlns:r="http://schemas.openxmlformats.org/officeDocument/2006/relationships" ref="N187" r:id="rId361"/>
    <hyperlink xmlns:r="http://schemas.openxmlformats.org/officeDocument/2006/relationships" ref="M188" r:id="rId362"/>
    <hyperlink xmlns:r="http://schemas.openxmlformats.org/officeDocument/2006/relationships" ref="N188" r:id="rId363"/>
    <hyperlink xmlns:r="http://schemas.openxmlformats.org/officeDocument/2006/relationships" ref="M189" r:id="rId364"/>
    <hyperlink xmlns:r="http://schemas.openxmlformats.org/officeDocument/2006/relationships" ref="N189" r:id="rId365"/>
    <hyperlink xmlns:r="http://schemas.openxmlformats.org/officeDocument/2006/relationships" ref="M190" r:id="rId366"/>
    <hyperlink xmlns:r="http://schemas.openxmlformats.org/officeDocument/2006/relationships" ref="N190" r:id="rId367"/>
    <hyperlink xmlns:r="http://schemas.openxmlformats.org/officeDocument/2006/relationships" ref="M191" r:id="rId368"/>
    <hyperlink xmlns:r="http://schemas.openxmlformats.org/officeDocument/2006/relationships" ref="N191" r:id="rId369"/>
    <hyperlink xmlns:r="http://schemas.openxmlformats.org/officeDocument/2006/relationships" ref="M192" r:id="rId370"/>
    <hyperlink xmlns:r="http://schemas.openxmlformats.org/officeDocument/2006/relationships" ref="N192" r:id="rId371"/>
    <hyperlink xmlns:r="http://schemas.openxmlformats.org/officeDocument/2006/relationships" ref="M193" r:id="rId372"/>
    <hyperlink xmlns:r="http://schemas.openxmlformats.org/officeDocument/2006/relationships" ref="N193" r:id="rId373"/>
    <hyperlink xmlns:r="http://schemas.openxmlformats.org/officeDocument/2006/relationships" ref="M194" r:id="rId374"/>
    <hyperlink xmlns:r="http://schemas.openxmlformats.org/officeDocument/2006/relationships" ref="N194" r:id="rId375"/>
    <hyperlink xmlns:r="http://schemas.openxmlformats.org/officeDocument/2006/relationships" ref="M195" r:id="rId376"/>
    <hyperlink xmlns:r="http://schemas.openxmlformats.org/officeDocument/2006/relationships" ref="N195" r:id="rId377"/>
    <hyperlink xmlns:r="http://schemas.openxmlformats.org/officeDocument/2006/relationships" ref="M196" r:id="rId378"/>
    <hyperlink xmlns:r="http://schemas.openxmlformats.org/officeDocument/2006/relationships" ref="N196" r:id="rId379"/>
    <hyperlink xmlns:r="http://schemas.openxmlformats.org/officeDocument/2006/relationships" ref="M197" r:id="rId380"/>
    <hyperlink xmlns:r="http://schemas.openxmlformats.org/officeDocument/2006/relationships" ref="N197" r:id="rId381"/>
    <hyperlink xmlns:r="http://schemas.openxmlformats.org/officeDocument/2006/relationships" ref="M198" r:id="rId382"/>
    <hyperlink xmlns:r="http://schemas.openxmlformats.org/officeDocument/2006/relationships" ref="M199" r:id="rId383"/>
    <hyperlink xmlns:r="http://schemas.openxmlformats.org/officeDocument/2006/relationships" ref="N199" r:id="rId384"/>
    <hyperlink xmlns:r="http://schemas.openxmlformats.org/officeDocument/2006/relationships" ref="M200" r:id="rId385"/>
    <hyperlink xmlns:r="http://schemas.openxmlformats.org/officeDocument/2006/relationships" ref="N200" r:id="rId386"/>
  </hyperlinks>
  <pageMargins left="0.75" right="0.75" top="1" bottom="1" header="0.5" footer="0.5"/>
  <tableParts count="1">
    <tablePart xmlns:r="http://schemas.openxmlformats.org/officeDocument/2006/relationships" r:id="rId387"/>
  </tableParts>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2" customWidth="1" min="1" max="1"/>
    <col width="80" customWidth="1" min="2" max="2"/>
    <col width="10" customWidth="1" min="3" max="3"/>
  </cols>
  <sheetData>
    <row r="1">
      <c r="A1" s="11" t="inlineStr">
        <is>
          <t>Niveau</t>
        </is>
      </c>
      <c r="B1" s="11" t="inlineStr">
        <is>
          <t>Signification</t>
        </is>
      </c>
      <c r="C1" s="11" t="inlineStr">
        <is>
          <t>Pays</t>
        </is>
      </c>
    </row>
    <row r="2">
      <c r="A2" s="12" t="inlineStr">
        <is>
          <t>A</t>
        </is>
      </c>
      <c r="B2" s="13" t="inlineStr">
        <is>
          <t>Box-office national sourcé : le film national le plus vu dans le pays</t>
        </is>
      </c>
      <c r="C2" s="13">
        <f>COUNTIF(Films!$C$2:$C$200,"A")</f>
        <v/>
      </c>
    </row>
    <row r="3">
      <c r="A3" s="14" t="inlineStr">
        <is>
          <t>B</t>
        </is>
      </c>
      <c r="B3" s="13" t="inlineStr">
        <is>
          <t>Pas de box-office : film national le plus voté sur TMDB (50 votes ou plus)</t>
        </is>
      </c>
      <c r="C3" s="13">
        <f>COUNTIF(Films!$C$2:$C$200,"B")</f>
        <v/>
      </c>
    </row>
    <row r="4">
      <c r="A4" s="15" t="inlineStr">
        <is>
          <t>C</t>
        </is>
      </c>
      <c r="B4" s="13" t="inlineStr">
        <is>
          <t>Données trop rares : choix éditorial « native » de Films Around the World</t>
        </is>
      </c>
      <c r="C4" s="13">
        <f>COUNTIF(Films!$C$2:$C$200,"C")</f>
        <v/>
      </c>
    </row>
    <row r="5">
      <c r="A5" s="16" t="inlineStr">
        <is>
          <t>D</t>
        </is>
      </c>
      <c r="B5" s="13" t="inlineStr">
        <is>
          <t>Dernier recours : film national le plus voté sur TMDB, moins de 50 votes</t>
        </is>
      </c>
      <c r="C5" s="13">
        <f>COUNTIF(Films!$C$2:$C$200,"D")</f>
        <v/>
      </c>
    </row>
    <row r="6">
      <c r="A6" s="17" t="inlineStr">
        <is>
          <t>-</t>
        </is>
      </c>
      <c r="B6" s="13" t="inlineStr">
        <is>
          <t>Aucun film trouvé</t>
        </is>
      </c>
      <c r="C6" s="13">
        <f>COUNTIF(Films!$C$2:$C$200,"-")</f>
        <v/>
      </c>
    </row>
    <row r="7">
      <c r="A7" s="11" t="inlineStr">
        <is>
          <t>Total</t>
        </is>
      </c>
      <c r="B7" s="13" t="inlineStr"/>
      <c r="C7" s="13">
        <f>SUM(C2:C6)</f>
        <v/>
      </c>
    </row>
    <row r="8">
      <c r="A8" s="13" t="n"/>
      <c r="B8" s="13" t="n"/>
      <c r="C8" s="13" t="n"/>
    </row>
    <row r="9">
      <c r="A9" s="13" t="inlineStr">
        <is>
          <t>Disponibles en France (streaming, location ou achat)</t>
        </is>
      </c>
      <c r="B9" s="13" t="inlineStr"/>
      <c r="C9" s="13">
        <f>COUNTIF(Films!$L$2:$L$200,"?*")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20" customWidth="1" min="1" max="1"/>
  </cols>
  <sheetData>
    <row r="1">
      <c r="A1" s="11" t="inlineStr">
        <is>
          <t># Méthode : un film par pays</t>
        </is>
      </c>
    </row>
    <row r="2">
      <c r="A2" s="13" t="inlineStr"/>
    </row>
    <row r="3">
      <c r="A3" s="13" t="inlineStr">
        <is>
          <t>Question posée : quel est le film NATIONAL que les gens de chaque pays ont le plus vu ?</t>
        </is>
      </c>
    </row>
    <row r="4">
      <c r="A4" s="13" t="inlineStr"/>
    </row>
    <row r="5">
      <c r="A5" s="11" t="inlineStr">
        <is>
          <t>## Règles communes</t>
        </is>
      </c>
    </row>
    <row r="6">
      <c r="A6" s="13" t="inlineStr"/>
    </row>
    <row r="7">
      <c r="A7" s="13" t="inlineStr">
        <is>
          <t>- Film national : la production et l'équipe créative viennent principalement du pays. Un financement ou un tournage ne suffit pas.</t>
        </is>
      </c>
    </row>
    <row r="8">
      <c r="A8" s="13" t="inlineStr">
        <is>
          <t>- Langue : une langue parlée dans le pays. Les films tournés en anglais pour l'export sont exclus, sauf dans les pays anglophones.</t>
        </is>
      </c>
    </row>
    <row r="9">
      <c r="A9" s="13" t="inlineStr">
        <is>
          <t>- Long-métrage de fiction. L'animation est acceptée et signalée. Les documentaires sont exclus.</t>
        </is>
      </c>
    </row>
    <row r="10">
      <c r="A10" s="13" t="inlineStr">
        <is>
          <t>- Un même film n'est attribué qu'à un seul pays.</t>
        </is>
      </c>
    </row>
    <row r="11">
      <c r="A11" s="13" t="inlineStr"/>
    </row>
    <row r="12">
      <c r="A12" s="11" t="inlineStr">
        <is>
          <t>## Niveaux, du plus fiable au moins fiable</t>
        </is>
      </c>
    </row>
    <row r="13">
      <c r="A13" s="13" t="inlineStr"/>
    </row>
    <row r="14">
      <c r="A14" s="13" t="inlineStr">
        <is>
          <t>- A : box-office national sourcé. On prend le film national qui a fait le plus d'entrées dans le pays, ou à défaut le plus de recettes nationales. Les recettes mondiales ne comptent pas. Sources : Wikipedia, instituts nationaux du cinéma, base LUMIERE de l'Observatoire européen de l'audiovisuel, presse.</t>
        </is>
      </c>
    </row>
    <row r="15">
      <c r="A15" s="13" t="inlineStr">
        <is>
          <t>- B : pas de box-office. On prend le film du pays le plus voté sur TMDB, à partir de 50 votes, dans une langue du pays, en préférant les films dont le pays est le producteur principal. Ça mesure la notoriété internationale plus que l'audience locale.</t>
        </is>
      </c>
    </row>
    <row r="16">
      <c r="A16" s="13" t="inlineStr">
        <is>
          <t>- C : données trop rares. On prend le premier choix « native voice » de Films Around the World (filmsaroundthe.world), un choix éditorial fondé sur la réputation, pas sur l'audience.</t>
        </is>
      </c>
    </row>
    <row r="17">
      <c r="A17" s="13" t="inlineStr">
        <is>
          <t>- D : dernier recours. On prend le film du pays le plus voté sur TMDB, avec moins de 50 votes.</t>
        </is>
      </c>
    </row>
    <row r="18">
      <c r="A18" s="13" t="inlineStr"/>
    </row>
    <row r="19">
      <c r="A19" s="11" t="inlineStr">
        <is>
          <t>## Limites connues</t>
        </is>
      </c>
    </row>
    <row r="20">
      <c r="A20" s="13" t="inlineStr"/>
    </row>
    <row r="21">
      <c r="A21" s="13" t="inlineStr">
        <is>
          <t>- Les records de niveau A mélangent les époques. Certains pays ont un record ancien et mieux documenté en entrées (Pologne 1960, Royaume-Uni 1948), d'autres un record récent en recettes, gonflé par le prix des billets.</t>
        </is>
      </c>
    </row>
    <row r="22">
      <c r="A22" s="13" t="inlineStr">
        <is>
          <t>- Pour les pays de l'ex-URSS et de l'ex-Yougoslavie, l'attribution des films d'avant l'indépendance est discutable. C'est noté au cas par cas.</t>
        </is>
      </c>
    </row>
    <row r="23">
      <c r="A23" s="13" t="inlineStr">
        <is>
          <t>- Là où le cinéma populaire passe par YouTube ou la vidéo (Somalie, Nollywood, Éthiopie), la colonne « Phénomène vidéo » donne le candidat quand il est connu.</t>
        </is>
      </c>
    </row>
    <row r="24">
      <c r="A24" s="13" t="inlineStr">
        <is>
          <t>- La colonne « Où le voir en France » vient de TMDB (données JustWatch), au moment de l'export.</t>
        </is>
      </c>
    </row>
    <row r="25">
      <c r="A25" s="13" t="inlineStr"/>
    </row>
    <row r="26">
      <c r="A26" s="11" t="inlineStr">
        <is>
          <t>## Projets voisins consultés</t>
        </is>
      </c>
    </row>
    <row r="27">
      <c r="A27" s="13" t="inlineStr"/>
    </row>
    <row r="28">
      <c r="A28" s="13" t="inlineStr">
        <is>
          <t>- Films Around the World : un guide par pays, avec une méthode publique (https://filmsaroundthe.world/methodology/).</t>
        </is>
      </c>
    </row>
    <row r="29">
      <c r="A29" s="13" t="inlineStr">
        <is>
          <t>- EkulRF/BestFilmsByCountry sur GitHub : le film le mieux noté sur TMDB par pays, sans filtre de langue.</t>
        </is>
      </c>
    </row>
    <row r="30">
      <c r="A30" s="13" t="inlineStr">
        <is>
          <t>- Listes Letterboxd « un film par pays » (jamesjonathan, tdieckma, johnmilton), Witterworld (BBC), Movies with Macca.</t>
        </is>
      </c>
    </row>
    <row r="31">
      <c r="A31" s="13" t="inlineStr">
        <is>
          <t>- Wikipedia : catégorie « Lists of highest-grossing films by region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2026-10-23T01:35:20Z</dcterms:created>
  <dcterms:modified xmlns:dcterms="http://purl.org/dc/terms/" xmlns:xsi="http://www.w3.org/2001/XMLSchema-instance" xsi:type="dcterms:W3CDTF">2026-10-23T01:35:20Z</dcterms:modified>
</cp:coreProperties>
</file>