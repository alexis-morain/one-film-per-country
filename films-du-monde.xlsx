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ilms" sheetId="1" state="visible" r:id="rId1"/>
    <sheet xmlns:r="http://schemas.openxmlformats.org/officeDocument/2006/relationships" name="Résumé" sheetId="2" state="visible" r:id="rId2"/>
    <sheet xmlns:r="http://schemas.openxmlformats.org/officeDocument/2006/relationships" name="Méthode"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0"/>
    </font>
    <font>
      <name val="Arial"/>
      <sz val="10"/>
    </font>
    <font>
      <name val="Arial"/>
      <color rgb="001155CC"/>
      <sz val="10"/>
      <u val="single"/>
    </font>
  </fonts>
  <fills count="7">
    <fill>
      <patternFill/>
    </fill>
    <fill>
      <patternFill patternType="gray125"/>
    </fill>
    <fill>
      <patternFill patternType="solid">
        <fgColor rgb="00FFF2CC"/>
      </patternFill>
    </fill>
    <fill>
      <patternFill patternType="solid">
        <fgColor rgb="00D9EAD3"/>
      </patternFill>
    </fill>
    <fill>
      <patternFill patternType="solid">
        <fgColor rgb="00F4CCCC"/>
      </patternFill>
    </fill>
    <fill>
      <patternFill patternType="solid">
        <fgColor rgb="00FCE5CD"/>
      </patternFill>
    </fill>
    <fill>
      <patternFill patternType="solid">
        <fgColor rgb="00EEEEEE"/>
      </patternFill>
    </fill>
  </fills>
  <borders count="1">
    <border>
      <left/>
      <right/>
      <top/>
      <bottom/>
      <diagonal/>
    </border>
  </borders>
  <cellStyleXfs count="1">
    <xf numFmtId="0" fontId="0" fillId="0" borderId="0"/>
  </cellStyleXfs>
  <cellXfs count="18">
    <xf numFmtId="0" fontId="0" fillId="0" borderId="0" pivotButton="0" quotePrefix="0" xfId="0"/>
    <xf numFmtId="0" fontId="1" fillId="0" borderId="0" applyAlignment="1" pivotButton="0" quotePrefix="0" xfId="0">
      <alignment vertical="top"/>
    </xf>
    <xf numFmtId="0" fontId="1" fillId="0" borderId="0" applyAlignment="1" pivotButton="0" quotePrefix="0" xfId="0">
      <alignment vertical="top" wrapText="1"/>
    </xf>
    <xf numFmtId="0" fontId="2" fillId="0" borderId="0" applyAlignment="1" pivotButton="0" quotePrefix="0" xfId="0">
      <alignment vertical="top"/>
    </xf>
    <xf numFmtId="0" fontId="2" fillId="2"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wrapText="1"/>
    </xf>
    <xf numFmtId="0" fontId="2" fillId="3" borderId="0" applyAlignment="1" pivotButton="0" quotePrefix="0" xfId="0">
      <alignment vertical="top"/>
    </xf>
    <xf numFmtId="0" fontId="2" fillId="4" borderId="0" applyAlignment="1" pivotButton="0" quotePrefix="0" xfId="0">
      <alignment vertical="top"/>
    </xf>
    <xf numFmtId="0" fontId="2" fillId="5" borderId="0" applyAlignment="1" pivotButton="0" quotePrefix="0" xfId="0">
      <alignment vertical="top"/>
    </xf>
    <xf numFmtId="0" fontId="2" fillId="6" borderId="0" applyAlignment="1" pivotButton="0" quotePrefix="0" xfId="0">
      <alignment vertical="top"/>
    </xf>
    <xf numFmtId="0" fontId="1" fillId="0" borderId="0" pivotButton="0" quotePrefix="0" xfId="0"/>
    <xf numFmtId="0" fontId="2" fillId="3" borderId="0" pivotButton="0" quotePrefix="0" xfId="0"/>
    <xf numFmtId="0" fontId="2" fillId="0" borderId="0" pivotButton="0" quotePrefix="0" xfId="0"/>
    <xf numFmtId="0" fontId="2" fillId="2" borderId="0" pivotButton="0" quotePrefix="0" xfId="0"/>
    <xf numFmtId="0" fontId="2" fillId="5" borderId="0" pivotButton="0" quotePrefix="0" xfId="0"/>
    <xf numFmtId="0" fontId="2" fillId="4" borderId="0" pivotButton="0" quotePrefix="0" xfId="0"/>
    <xf numFmtId="0" fontId="2"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Films" displayName="Films" ref="A1:S200" headerRowCount="1">
  <autoFilter ref="A1:S200"/>
  <tableColumns count="19">
    <tableColumn id="1" name="Pays"/>
    <tableColumn id="2" name="Continent"/>
    <tableColumn id="3" name="Niveau"/>
    <tableColumn id="4" name="Fiabilité"/>
    <tableColumn id="5" name="Titre original"/>
    <tableColumn id="6" name="Titre français"/>
    <tableColumn id="7" name="Année"/>
    <tableColumn id="8" name="Langue"/>
    <tableColumn id="9" name="Animation"/>
    <tableColumn id="10" name="Durée (min)"/>
    <tableColumn id="11" name="Critère"/>
    <tableColumn id="12" name="Où le voir en France"/>
    <tableColumn id="13" name="Source du classement"/>
    <tableColumn id="14" name="Fiche TMDB"/>
    <tableColumn id="15" name="2e du classement"/>
    <tableColumn id="16" name="Le plus voté sur TMDB"/>
    <tableColumn id="17" name="Choix critique (Films Around the World)"/>
    <tableColumn id="18" name="Phénomène vidéo / YouTube"/>
    <tableColumn id="19" name="Notes"/>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themoviedb.org/movie/14757" TargetMode="External" Id="rId1"/><Relationship Type="http://schemas.openxmlformats.org/officeDocument/2006/relationships/hyperlink" Target="https://www.themoviedb.org/movie/14757" TargetMode="External" Id="rId2"/><Relationship Type="http://schemas.openxmlformats.org/officeDocument/2006/relationships/hyperlink" Target="https://en.wikipedia.org/wiki/Mr_Bones_2:_Back_from_the_Past" TargetMode="External" Id="rId3"/><Relationship Type="http://schemas.openxmlformats.org/officeDocument/2006/relationships/hyperlink" Target="https://www.themoviedb.org/movie/30245" TargetMode="External" Id="rId4"/><Relationship Type="http://schemas.openxmlformats.org/officeDocument/2006/relationships/hyperlink" Target="https://www.themoviedb.org/search?query=Tomka%20dhe%20shok%C3%ABt%20e%20tij" TargetMode="External" Id="rId5"/><Relationship Type="http://schemas.openxmlformats.org/officeDocument/2006/relationships/hyperlink" Target="https://www.themoviedb.org/movie/263014" TargetMode="External" Id="rId6"/><Relationship Type="http://schemas.openxmlformats.org/officeDocument/2006/relationships/hyperlink" Target="https://filmsaroundthe.world/" TargetMode="External" Id="rId7"/><Relationship Type="http://schemas.openxmlformats.org/officeDocument/2006/relationships/hyperlink" Target="https://www.themoviedb.org/movie/17295" TargetMode="External" Id="rId8"/><Relationship Type="http://schemas.openxmlformats.org/officeDocument/2006/relationships/hyperlink" Target="https://www.insidekino.com/DJahr/DAlltimeDeutsch50.htm" TargetMode="External" Id="rId9"/><Relationship Type="http://schemas.openxmlformats.org/officeDocument/2006/relationships/hyperlink" Target="https://www.themoviedb.org/movie/83062" TargetMode="External" Id="rId10"/><Relationship Type="http://schemas.openxmlformats.org/officeDocument/2006/relationships/hyperlink" Target="https://www.themoviedb.org/movie/1638553" TargetMode="External" Id="rId11"/><Relationship Type="http://schemas.openxmlformats.org/officeDocument/2006/relationships/hyperlink" Target="https://www.themoviedb.org/movie/1638553" TargetMode="External" Id="rId12"/><Relationship Type="http://schemas.openxmlformats.org/officeDocument/2006/relationships/hyperlink" Target="https://filmsaroundthe.world/country/angola/films/sambizanga-f7883e975b7e724f7/" TargetMode="External" Id="rId13"/><Relationship Type="http://schemas.openxmlformats.org/officeDocument/2006/relationships/hyperlink" Target="https://www.themoviedb.org/movie/87392" TargetMode="External" Id="rId14"/><Relationship Type="http://schemas.openxmlformats.org/officeDocument/2006/relationships/hyperlink" Target="https://filmsaroundthe.world/country/antigua-and-barbuda/films/the-sweetest-mango-f5ae8570bb75628ed/" TargetMode="External" Id="rId15"/><Relationship Type="http://schemas.openxmlformats.org/officeDocument/2006/relationships/hyperlink" Target="https://www.themoviedb.org/movie/389209" TargetMode="External" Id="rId16"/><Relationship Type="http://schemas.openxmlformats.org/officeDocument/2006/relationships/hyperlink" Target="https://www.instagram.com/p/DcOpfLdMe4R" TargetMode="External" Id="rId17"/><Relationship Type="http://schemas.openxmlformats.org/officeDocument/2006/relationships/hyperlink" Target="https://www.themoviedb.org/movie/1316427" TargetMode="External" Id="rId18"/><Relationship Type="http://schemas.openxmlformats.org/officeDocument/2006/relationships/hyperlink" Target="https://es.wikipedia.org/wiki/Relatos_salvajes" TargetMode="External" Id="rId19"/><Relationship Type="http://schemas.openxmlformats.org/officeDocument/2006/relationships/hyperlink" Target="https://www.themoviedb.org/movie/265195" TargetMode="External" Id="rId20"/><Relationship Type="http://schemas.openxmlformats.org/officeDocument/2006/relationships/hyperlink" Target="https://filmsaroundthe.world/country/armenia/films/the-color-of-pomegranates-fc14231a1f400d625/" TargetMode="External" Id="rId21"/><Relationship Type="http://schemas.openxmlformats.org/officeDocument/2006/relationships/hyperlink" Target="https://www.themoviedb.org/movie/26302" TargetMode="External" Id="rId22"/><Relationship Type="http://schemas.openxmlformats.org/officeDocument/2006/relationships/hyperlink" Target="https://www.screenaustralia.gov.au/insights-and-trends/australian-films/top-australian-films/" TargetMode="External" Id="rId23"/><Relationship Type="http://schemas.openxmlformats.org/officeDocument/2006/relationships/hyperlink" Target="https://www.themoviedb.org/movie/9671" TargetMode="External" Id="rId24"/><Relationship Type="http://schemas.openxmlformats.org/officeDocument/2006/relationships/hyperlink" Target="https://de.wikipedia.org/wiki/Hinterholz_8" TargetMode="External" Id="rId25"/><Relationship Type="http://schemas.openxmlformats.org/officeDocument/2006/relationships/hyperlink" Target="https://www.themoviedb.org/movie/38005" TargetMode="External" Id="rId26"/><Relationship Type="http://schemas.openxmlformats.org/officeDocument/2006/relationships/hyperlink" Target="https://www.azernews.az/culture/262003.html" TargetMode="External" Id="rId27"/><Relationship Type="http://schemas.openxmlformats.org/officeDocument/2006/relationships/hyperlink" Target="https://www.themoviedb.org/movie/1360595" TargetMode="External" Id="rId28"/><Relationship Type="http://schemas.openxmlformats.org/officeDocument/2006/relationships/hyperlink" Target="https://www.themoviedb.org/movie/79926" TargetMode="External" Id="rId29"/><Relationship Type="http://schemas.openxmlformats.org/officeDocument/2006/relationships/hyperlink" Target="https://www.themoviedb.org/movie/79926" TargetMode="External" Id="rId30"/><Relationship Type="http://schemas.openxmlformats.org/officeDocument/2006/relationships/hyperlink" Target="https://filmsaroundthe.world/country/bahrain/films/the-barrier-fb1b79d7b9ce09270/" TargetMode="External" Id="rId31"/><Relationship Type="http://schemas.openxmlformats.org/officeDocument/2006/relationships/hyperlink" Target="https://www.themoviedb.org/movie/275053" TargetMode="External" Id="rId32"/><Relationship Type="http://schemas.openxmlformats.org/officeDocument/2006/relationships/hyperlink" Target="https://en.wikipedia.org/wiki/List_of_highest-grossing_Bangladeshi_films" TargetMode="External" Id="rId33"/><Relationship Type="http://schemas.openxmlformats.org/officeDocument/2006/relationships/hyperlink" Target="https://www.themoviedb.org/movie/1374290" TargetMode="External" Id="rId34"/><Relationship Type="http://schemas.openxmlformats.org/officeDocument/2006/relationships/hyperlink" Target="https://filmsaroundthe.world/country/barbados/films/a-caribbean-dream-fa5c28b5beea3790a/" TargetMode="External" Id="rId35"/><Relationship Type="http://schemas.openxmlformats.org/officeDocument/2006/relationships/hyperlink" Target="https://www.themoviedb.org/movie/412906" TargetMode="External" Id="rId36"/><Relationship Type="http://schemas.openxmlformats.org/officeDocument/2006/relationships/hyperlink" Target="https://cineuropa.org" TargetMode="External" Id="rId37"/><Relationship Type="http://schemas.openxmlformats.org/officeDocument/2006/relationships/hyperlink" Target="https://www.themoviedb.org/movie/17845" TargetMode="External" Id="rId38"/><Relationship Type="http://schemas.openxmlformats.org/officeDocument/2006/relationships/hyperlink" Target="https://www.themoviedb.org/movie/1071807" TargetMode="External" Id="rId39"/><Relationship Type="http://schemas.openxmlformats.org/officeDocument/2006/relationships/hyperlink" Target="https://www.themoviedb.org/movie/1071807" TargetMode="External" Id="rId40"/><Relationship Type="http://schemas.openxmlformats.org/officeDocument/2006/relationships/hyperlink" Target="https://filmsaroundthe.world/country/benin/films/sous-le-signe-du-vaudou-f78f203ff591a6305/" TargetMode="External" Id="rId41"/><Relationship Type="http://schemas.openxmlformats.org/officeDocument/2006/relationships/hyperlink" Target="https://www.themoviedb.org/movie/471171" TargetMode="External" Id="rId42"/><Relationship Type="http://schemas.openxmlformats.org/officeDocument/2006/relationships/hyperlink" Target="https://www.themoviedb.org/movie/627087" TargetMode="External" Id="rId43"/><Relationship Type="http://schemas.openxmlformats.org/officeDocument/2006/relationships/hyperlink" Target="https://www.themoviedb.org/movie/627087" TargetMode="External" Id="rId44"/><Relationship Type="http://schemas.openxmlformats.org/officeDocument/2006/relationships/hyperlink" Target="https://www.themoviedb.org/movie/50618" TargetMode="External" Id="rId45"/><Relationship Type="http://schemas.openxmlformats.org/officeDocument/2006/relationships/hyperlink" Target="https://www.themoviedb.org/movie/50618" TargetMode="External" Id="rId46"/><Relationship Type="http://schemas.openxmlformats.org/officeDocument/2006/relationships/hyperlink" Target="https://www.themoviedb.org/movie/594417" TargetMode="External" Id="rId47"/><Relationship Type="http://schemas.openxmlformats.org/officeDocument/2006/relationships/hyperlink" Target="https://www.themoviedb.org/movie/594417" TargetMode="External" Id="rId48"/><Relationship Type="http://schemas.openxmlformats.org/officeDocument/2006/relationships/hyperlink" Target="https://www.themoviedb.org/movie/455502" TargetMode="External" Id="rId49"/><Relationship Type="http://schemas.openxmlformats.org/officeDocument/2006/relationships/hyperlink" Target="https://www.themoviedb.org/movie/455502" TargetMode="External" Id="rId50"/><Relationship Type="http://schemas.openxmlformats.org/officeDocument/2006/relationships/hyperlink" Target="https://www.themoviedb.org/movie/317" TargetMode="External" Id="rId51"/><Relationship Type="http://schemas.openxmlformats.org/officeDocument/2006/relationships/hyperlink" Target="https://www.themoviedb.org/movie/317" TargetMode="External" Id="rId52"/><Relationship Type="http://schemas.openxmlformats.org/officeDocument/2006/relationships/hyperlink" Target="https://filmsaroundthe.world/country/botswana/films/ngaka-fcea1e639040f8bb5/" TargetMode="External" Id="rId53"/><Relationship Type="http://schemas.openxmlformats.org/officeDocument/2006/relationships/hyperlink" Target="https://www.themoviedb.org/movie/1186418" TargetMode="External" Id="rId54"/><Relationship Type="http://schemas.openxmlformats.org/officeDocument/2006/relationships/hyperlink" Target="https://pt.wikipedia.org/wiki/Lista_de_filmes_brasileiros_com_mais_de_um_milh%C3%A3o_de_espectadores" TargetMode="External" Id="rId55"/><Relationship Type="http://schemas.openxmlformats.org/officeDocument/2006/relationships/hyperlink" Target="https://www.themoviedb.org/movie/47931" TargetMode="External" Id="rId56"/><Relationship Type="http://schemas.openxmlformats.org/officeDocument/2006/relationships/hyperlink" Target="https://filmsaroundthe.world/country/brunei/films/yasmine-f17b4d68cefb3bb3d/" TargetMode="External" Id="rId57"/><Relationship Type="http://schemas.openxmlformats.org/officeDocument/2006/relationships/hyperlink" Target="https://www.themoviedb.org/movie/277690" TargetMode="External" Id="rId58"/><Relationship Type="http://schemas.openxmlformats.org/officeDocument/2006/relationships/hyperlink" Target="https://www.segabg.com" TargetMode="External" Id="rId59"/><Relationship Type="http://schemas.openxmlformats.org/officeDocument/2006/relationships/hyperlink" Target="https://www.themoviedb.org/movie/1300045" TargetMode="External" Id="rId60"/><Relationship Type="http://schemas.openxmlformats.org/officeDocument/2006/relationships/hyperlink" Target="https://filmsaroundthe.world/country/burkina-faso/films/wend-kuuni-f7b306511670049bb/" TargetMode="External" Id="rId61"/><Relationship Type="http://schemas.openxmlformats.org/officeDocument/2006/relationships/hyperlink" Target="https://www.themoviedb.org/movie/181083" TargetMode="External" Id="rId62"/><Relationship Type="http://schemas.openxmlformats.org/officeDocument/2006/relationships/hyperlink" Target="https://filmsaroundthe.world/country/burundi/films/gito-l-ingrat-f51b7b6751e068d3e/" TargetMode="External" Id="rId63"/><Relationship Type="http://schemas.openxmlformats.org/officeDocument/2006/relationships/hyperlink" Target="https://www.themoviedb.org/movie/272032" TargetMode="External" Id="rId64"/><Relationship Type="http://schemas.openxmlformats.org/officeDocument/2006/relationships/hyperlink" Target="https://km.wikipedia.org/wiki/Cambodia_Box_Office" TargetMode="External" Id="rId65"/><Relationship Type="http://schemas.openxmlformats.org/officeDocument/2006/relationships/hyperlink" Target="https://www.themoviedb.org/movie/1246014" TargetMode="External" Id="rId66"/><Relationship Type="http://schemas.openxmlformats.org/officeDocument/2006/relationships/hyperlink" Target="https://letudiantafricain.com/blog-letudiant-africain/le-cin%C3%A9ma-camerounais-arr%C3%AAt-sur-image" TargetMode="External" Id="rId67"/><Relationship Type="http://schemas.openxmlformats.org/officeDocument/2006/relationships/hyperlink" Target="https://en.wikipedia.org/wiki/Cinema_of_Canada" TargetMode="External" Id="rId68"/><Relationship Type="http://schemas.openxmlformats.org/officeDocument/2006/relationships/hyperlink" Target="https://www.themoviedb.org/movie/15049" TargetMode="External" Id="rId69"/><Relationship Type="http://schemas.openxmlformats.org/officeDocument/2006/relationships/hyperlink" Target="https://es.wikipedia.org/wiki/Cine_de_Chile" TargetMode="External" Id="rId70"/><Relationship Type="http://schemas.openxmlformats.org/officeDocument/2006/relationships/hyperlink" Target="https://www.themoviedb.org/movie/132706" TargetMode="External" Id="rId71"/><Relationship Type="http://schemas.openxmlformats.org/officeDocument/2006/relationships/hyperlink" Target="https://en.wikipedia.org/wiki/List_of_highest-grossing_films_in_China" TargetMode="External" Id="rId72"/><Relationship Type="http://schemas.openxmlformats.org/officeDocument/2006/relationships/hyperlink" Target="https://www.themoviedb.org/movie/980477" TargetMode="External" Id="rId73"/><Relationship Type="http://schemas.openxmlformats.org/officeDocument/2006/relationships/hyperlink" Target="https://www.themoviedb.org/movie/512092" TargetMode="External" Id="rId74"/><Relationship Type="http://schemas.openxmlformats.org/officeDocument/2006/relationships/hyperlink" Target="https://www.themoviedb.org/movie/512092" TargetMode="External" Id="rId75"/><Relationship Type="http://schemas.openxmlformats.org/officeDocument/2006/relationships/hyperlink" Target="https://www.themoviedb.org/movie/1704694" TargetMode="External" Id="rId76"/><Relationship Type="http://schemas.openxmlformats.org/officeDocument/2006/relationships/hyperlink" Target="https://www.themoviedb.org/movie/1704694" TargetMode="External" Id="rId77"/><Relationship Type="http://schemas.openxmlformats.org/officeDocument/2006/relationships/hyperlink" Target="https://es.wikipedia.org/wiki/El_paseo_4" TargetMode="External" Id="rId78"/><Relationship Type="http://schemas.openxmlformats.org/officeDocument/2006/relationships/hyperlink" Target="https://www.themoviedb.org/movie/434608" TargetMode="External" Id="rId79"/><Relationship Type="http://schemas.openxmlformats.org/officeDocument/2006/relationships/hyperlink" Target="https://filmsaroundthe.world/country/comoros/films/yeyamba-wandze-mdrou-ndo-fd72b6e081afa42e4/" TargetMode="External" Id="rId80"/><Relationship Type="http://schemas.openxmlformats.org/officeDocument/2006/relationships/hyperlink" Target="https://www.themoviedb.org/movie/470953" TargetMode="External" Id="rId81"/><Relationship Type="http://schemas.openxmlformats.org/officeDocument/2006/relationships/hyperlink" Target="https://filmsaroundthe.world/country/republic-of-the-congo/films/la-rancon-d-une-alliance-f6f7324a3da5cd10a/" TargetMode="External" Id="rId82"/><Relationship Type="http://schemas.openxmlformats.org/officeDocument/2006/relationships/hyperlink" Target="https://www.themoviedb.org/movie/984973" TargetMode="External" Id="rId83"/><Relationship Type="http://schemas.openxmlformats.org/officeDocument/2006/relationships/hyperlink" Target="https://filmsaroundthe.world/country/democratic-republic-of-the-congo/films/viva-riva-f931fdd22c03ee7ee/" TargetMode="External" Id="rId84"/><Relationship Type="http://schemas.openxmlformats.org/officeDocument/2006/relationships/hyperlink" Target="https://www.themoviedb.org/movie/63946" TargetMode="External" Id="rId85"/><Relationship Type="http://schemas.openxmlformats.org/officeDocument/2006/relationships/hyperlink" Target="https://www.themoviedb.org/movie/26974" TargetMode="External" Id="rId86"/><Relationship Type="http://schemas.openxmlformats.org/officeDocument/2006/relationships/hyperlink" Target="https://www.themoviedb.org/movie/26974" TargetMode="External" Id="rId87"/><Relationship Type="http://schemas.openxmlformats.org/officeDocument/2006/relationships/hyperlink" Target="https://en.wikipedia.org/wiki/List_of_highest-grossing_films_in_South_Korea" TargetMode="External" Id="rId88"/><Relationship Type="http://schemas.openxmlformats.org/officeDocument/2006/relationships/hyperlink" Target="https://www.themoviedb.org/movie/282631" TargetMode="External" Id="rId89"/><Relationship Type="http://schemas.openxmlformats.org/officeDocument/2006/relationships/hyperlink" Target="https://www.nacion.com/viva/cine/maikol-yordan-de-viaje-perdido-es-la-pelicula-mas-vista-en-la-historia-de-costa-rica/IZ7PGSKN3ZDG7HUGEPD5KHNOXY/story/" TargetMode="External" Id="rId90"/><Relationship Type="http://schemas.openxmlformats.org/officeDocument/2006/relationships/hyperlink" Target="https://www.themoviedb.org/movie/364868" TargetMode="External" Id="rId91"/><Relationship Type="http://schemas.openxmlformats.org/officeDocument/2006/relationships/hyperlink" Target="https://cotedivoirecinema.com/index.php/2026/05/08/test-article-1" TargetMode="External" Id="rId92"/><Relationship Type="http://schemas.openxmlformats.org/officeDocument/2006/relationships/hyperlink" Target="https://www.themoviedb.org/movie/1125238" TargetMode="External" Id="rId93"/><Relationship Type="http://schemas.openxmlformats.org/officeDocument/2006/relationships/hyperlink" Target="https://hr.wikipedia.org/wiki/Popis_najgledanijih_hrvatskih_filmova" TargetMode="External" Id="rId94"/><Relationship Type="http://schemas.openxmlformats.org/officeDocument/2006/relationships/hyperlink" Target="https://www.themoviedb.org/movie/1551507" TargetMode="External" Id="rId95"/><Relationship Type="http://schemas.openxmlformats.org/officeDocument/2006/relationships/hyperlink" Target="https://www.themoviedb.org/movie/32015" TargetMode="External" Id="rId96"/><Relationship Type="http://schemas.openxmlformats.org/officeDocument/2006/relationships/hyperlink" Target="https://www.themoviedb.org/movie/32015" TargetMode="External" Id="rId97"/><Relationship Type="http://schemas.openxmlformats.org/officeDocument/2006/relationships/hyperlink" Target="https://da.wikipedia.org/wiki/Mest_sete_danske_film" TargetMode="External" Id="rId98"/><Relationship Type="http://schemas.openxmlformats.org/officeDocument/2006/relationships/hyperlink" Target="https://www.themoviedb.org/movie/11392" TargetMode="External" Id="rId99"/><Relationship Type="http://schemas.openxmlformats.org/officeDocument/2006/relationships/hyperlink" Target="https://filmsaroundthe.world/country/djibouti/films/dhalinyaro-fd603e389fe341fd0/" TargetMode="External" Id="rId100"/><Relationship Type="http://schemas.openxmlformats.org/officeDocument/2006/relationships/hyperlink" Target="https://www.themoviedb.org/movie/345927" TargetMode="External" Id="rId101"/><Relationship Type="http://schemas.openxmlformats.org/officeDocument/2006/relationships/hyperlink" Target="https://www.themoviedb.org/movie/1269098" TargetMode="External" Id="rId102"/><Relationship Type="http://schemas.openxmlformats.org/officeDocument/2006/relationships/hyperlink" Target="https://www.themoviedb.org/movie/1269098" TargetMode="External" Id="rId103"/><Relationship Type="http://schemas.openxmlformats.org/officeDocument/2006/relationships/hyperlink" Target="https://ar.wikipedia.org/wiki/%D9%82%D8%A7%D8%A6%D9%85%D8%A9_%D8%A3%D8%B9%D9%84%D9%89_%D8%A7%D9%84%D8%A3%D9%81%D9%84%D8%A7%D9%85_%D8%AF%D8%AE%D9%84%D8%A7_%D9%81%D9%8A_%D9%85%D8%B5%D8%B1" TargetMode="External" Id="rId104"/><Relationship Type="http://schemas.openxmlformats.org/officeDocument/2006/relationships/hyperlink" Target="https://www.themoviedb.org/movie/629040" TargetMode="External" Id="rId105"/><Relationship Type="http://schemas.openxmlformats.org/officeDocument/2006/relationships/hyperlink" Target="https://www.themoviedb.org/movie/413780" TargetMode="External" Id="rId106"/><Relationship Type="http://schemas.openxmlformats.org/officeDocument/2006/relationships/hyperlink" Target="https://www.themoviedb.org/movie/413780" TargetMode="External" Id="rId107"/><Relationship Type="http://schemas.openxmlformats.org/officeDocument/2006/relationships/hyperlink" Target="https://es.wikipedia.org/wiki/Anexo:Pel%C3%ADculas_de_Ecuador" TargetMode="External" Id="rId108"/><Relationship Type="http://schemas.openxmlformats.org/officeDocument/2006/relationships/hyperlink" Target="https://www.themoviedb.org/movie/644479" TargetMode="External" Id="rId109"/><Relationship Type="http://schemas.openxmlformats.org/officeDocument/2006/relationships/hyperlink" Target="https://filmsaroundthe.world/country/eritrea/films/barud-77-f882991ee7fc593a6/" TargetMode="External" Id="rId110"/><Relationship Type="http://schemas.openxmlformats.org/officeDocument/2006/relationships/hyperlink" Target="https://www.themoviedb.org/movie/662924" TargetMode="External" Id="rId111"/><Relationship Type="http://schemas.openxmlformats.org/officeDocument/2006/relationships/hyperlink" Target="https://en.wikipedia.org/wiki/List_of_highest-grossing_films_in_Spain" TargetMode="External" Id="rId112"/><Relationship Type="http://schemas.openxmlformats.org/officeDocument/2006/relationships/hyperlink" Target="https://www.themoviedb.org/movie/236737" TargetMode="External" Id="rId113"/><Relationship Type="http://schemas.openxmlformats.org/officeDocument/2006/relationships/hyperlink" Target="https://www.themoviedb.org/movie/238628" TargetMode="External" Id="rId114"/><Relationship Type="http://schemas.openxmlformats.org/officeDocument/2006/relationships/hyperlink" Target="https://www.themoviedb.org/movie/238628" TargetMode="External" Id="rId115"/><Relationship Type="http://schemas.openxmlformats.org/officeDocument/2006/relationships/hyperlink" Target="https://filmsaroundthe.world/country/swaziland/films/umshana-f5fe397ff4b2cbc4d/" TargetMode="External" Id="rId116"/><Relationship Type="http://schemas.openxmlformats.org/officeDocument/2006/relationships/hyperlink" Target="https://www.themoviedb.org/movie/471232" TargetMode="External" Id="rId117"/><Relationship Type="http://schemas.openxmlformats.org/officeDocument/2006/relationships/hyperlink" Target="https://en.wikipedia.org/wiki/Gone_with_the_Wind_(film)" TargetMode="External" Id="rId118"/><Relationship Type="http://schemas.openxmlformats.org/officeDocument/2006/relationships/hyperlink" Target="https://www.themoviedb.org/movie/770" TargetMode="External" Id="rId119"/><Relationship Type="http://schemas.openxmlformats.org/officeDocument/2006/relationships/hyperlink" Target="https://www.themoviedb.org/movie/245855" TargetMode="External" Id="rId120"/><Relationship Type="http://schemas.openxmlformats.org/officeDocument/2006/relationships/hyperlink" Target="https://www.themoviedb.org/movie/245855" TargetMode="External" Id="rId121"/><Relationship Type="http://schemas.openxmlformats.org/officeDocument/2006/relationships/hyperlink" Target="https://filmsaroundthe.world/country/fiji/films/the-land-has-eyes-fd23656786d5f9c40/" TargetMode="External" Id="rId122"/><Relationship Type="http://schemas.openxmlformats.org/officeDocument/2006/relationships/hyperlink" Target="https://www.themoviedb.org/movie/97107" TargetMode="External" Id="rId123"/><Relationship Type="http://schemas.openxmlformats.org/officeDocument/2006/relationships/hyperlink" Target="https://fi.wikipedia.org/wiki/Luettelo_Suomen_katsotuimmista_elokuvista" TargetMode="External" Id="rId124"/><Relationship Type="http://schemas.openxmlformats.org/officeDocument/2006/relationships/hyperlink" Target="https://www.themoviedb.org/movie/36439" TargetMode="External" Id="rId125"/><Relationship Type="http://schemas.openxmlformats.org/officeDocument/2006/relationships/hyperlink" Target="https://en.wikipedia.org/wiki/List_of_highest-grossing_films_in_France" TargetMode="External" Id="rId126"/><Relationship Type="http://schemas.openxmlformats.org/officeDocument/2006/relationships/hyperlink" Target="https://www.themoviedb.org/movie/8265" TargetMode="External" Id="rId127"/><Relationship Type="http://schemas.openxmlformats.org/officeDocument/2006/relationships/hyperlink" Target="https://filmsaroundthe.world/country/gabon/films/dole-fba1f512c5c2e60e3/" TargetMode="External" Id="rId128"/><Relationship Type="http://schemas.openxmlformats.org/officeDocument/2006/relationships/hyperlink" Target="https://www.themoviedb.org/movie/302057" TargetMode="External" Id="rId129"/><Relationship Type="http://schemas.openxmlformats.org/officeDocument/2006/relationships/hyperlink" Target="https://filmsaroundthe.world/country/gambia/films/hand-of-fate-fda370ae8556f8367/" TargetMode="External" Id="rId130"/><Relationship Type="http://schemas.openxmlformats.org/officeDocument/2006/relationships/hyperlink" Target="https://www.themoviedb.org/movie/757684" TargetMode="External" Id="rId131"/><Relationship Type="http://schemas.openxmlformats.org/officeDocument/2006/relationships/hyperlink" Target="https://www.themoviedb.org/movie/795815" TargetMode="External" Id="rId132"/><Relationship Type="http://schemas.openxmlformats.org/officeDocument/2006/relationships/hyperlink" Target="https://www.themoviedb.org/movie/795815" TargetMode="External" Id="rId133"/><Relationship Type="http://schemas.openxmlformats.org/officeDocument/2006/relationships/hyperlink" Target="https://filmsaroundthe.world/country/ghana/films/love-brewed-in-the-african-pot-f5548f65a585f8708/" TargetMode="External" Id="rId134"/><Relationship Type="http://schemas.openxmlformats.org/officeDocument/2006/relationships/hyperlink" Target="https://www.themoviedb.org/movie/271440" TargetMode="External" Id="rId135"/><Relationship Type="http://schemas.openxmlformats.org/officeDocument/2006/relationships/hyperlink" Target="https://en.wikipedia.org/wiki/List_of_highest-grossing_Greek_films" TargetMode="External" Id="rId136"/><Relationship Type="http://schemas.openxmlformats.org/officeDocument/2006/relationships/hyperlink" Target="https://www.themoviedb.org/movie/12497" TargetMode="External" Id="rId137"/><Relationship Type="http://schemas.openxmlformats.org/officeDocument/2006/relationships/hyperlink" Target="https://filmsaroundthe.world/country/grenada/films/blinded-f99e1c495c64f795e/" TargetMode="External" Id="rId138"/><Relationship Type="http://schemas.openxmlformats.org/officeDocument/2006/relationships/hyperlink" Target="https://www.themoviedb.org/movie/276458" TargetMode="External" Id="rId139"/><Relationship Type="http://schemas.openxmlformats.org/officeDocument/2006/relationships/hyperlink" Target="https://www.themoviedb.org/movie/617708" TargetMode="External" Id="rId140"/><Relationship Type="http://schemas.openxmlformats.org/officeDocument/2006/relationships/hyperlink" Target="https://www.themoviedb.org/movie/617708" TargetMode="External" Id="rId141"/><Relationship Type="http://schemas.openxmlformats.org/officeDocument/2006/relationships/hyperlink" Target="https://filmsaroundthe.world/" TargetMode="External" Id="rId142"/><Relationship Type="http://schemas.openxmlformats.org/officeDocument/2006/relationships/hyperlink" Target="https://filmsaroundthe.world/country/guinea-bissau/films/the-blue-eyes-of-yonta-f76ec3b5b8039d4ec/" TargetMode="External" Id="rId143"/><Relationship Type="http://schemas.openxmlformats.org/officeDocument/2006/relationships/hyperlink" Target="https://www.themoviedb.org/movie/80257" TargetMode="External" Id="rId144"/><Relationship Type="http://schemas.openxmlformats.org/officeDocument/2006/relationships/hyperlink" Target="https://filmsaroundthe.world/country/equatorial-guinea/films/teresa-fccdc5089f8e0b34a/" TargetMode="External" Id="rId145"/><Relationship Type="http://schemas.openxmlformats.org/officeDocument/2006/relationships/hyperlink" Target="https://www.themoviedb.org/movie/345891" TargetMode="External" Id="rId146"/><Relationship Type="http://schemas.openxmlformats.org/officeDocument/2006/relationships/hyperlink" Target="https://www.themoviedb.org/movie/1372879" TargetMode="External" Id="rId147"/><Relationship Type="http://schemas.openxmlformats.org/officeDocument/2006/relationships/hyperlink" Target="https://www.themoviedb.org/movie/1372879" TargetMode="External" Id="rId148"/><Relationship Type="http://schemas.openxmlformats.org/officeDocument/2006/relationships/hyperlink" Target="https://filmsaroundthe.world/country/haiti/films/haitian-corner-f93e81392f65f8fca/" TargetMode="External" Id="rId149"/><Relationship Type="http://schemas.openxmlformats.org/officeDocument/2006/relationships/hyperlink" Target="https://www.themoviedb.org/movie/344654" TargetMode="External" Id="rId150"/><Relationship Type="http://schemas.openxmlformats.org/officeDocument/2006/relationships/hyperlink" Target="https://www.laprensa.hn/honduras/peliculas-hondurenas-taquillera-cinefilos-cine-honduras-quien-paga-la-cuenta-LCLP1166937" TargetMode="External" Id="rId151"/><Relationship Type="http://schemas.openxmlformats.org/officeDocument/2006/relationships/hyperlink" Target="https://www.themoviedb.org/movie/249276" TargetMode="External" Id="rId152"/><Relationship Type="http://schemas.openxmlformats.org/officeDocument/2006/relationships/hyperlink" Target="https://en.wikipedia.org/wiki/List_of_highest-grossing_films_in_Hong_Kong" TargetMode="External" Id="rId153"/><Relationship Type="http://schemas.openxmlformats.org/officeDocument/2006/relationships/hyperlink" Target="https://www.themoviedb.org/movie/1226141" TargetMode="External" Id="rId154"/><Relationship Type="http://schemas.openxmlformats.org/officeDocument/2006/relationships/hyperlink" Target="https://hu.wikipedia.org/wiki/Magyar_filmek_n%C3%A9z%C5%91sz%C3%A1m_szerinti_list%C3%A1ja" TargetMode="External" Id="rId155"/><Relationship Type="http://schemas.openxmlformats.org/officeDocument/2006/relationships/hyperlink" Target="https://www.themoviedb.org/movie/1283816" TargetMode="External" Id="rId156"/><Relationship Type="http://schemas.openxmlformats.org/officeDocument/2006/relationships/hyperlink" Target="https://www.themoviedb.org/movie/663459" TargetMode="External" Id="rId157"/><Relationship Type="http://schemas.openxmlformats.org/officeDocument/2006/relationships/hyperlink" Target="https://www.themoviedb.org/movie/663459" TargetMode="External" Id="rId158"/><Relationship Type="http://schemas.openxmlformats.org/officeDocument/2006/relationships/hyperlink" Target="https://filmsaroundthe.world/country/cabo-verde/films/hanami-f0880c63a9a1e2a7f/" TargetMode="External" Id="rId159"/><Relationship Type="http://schemas.openxmlformats.org/officeDocument/2006/relationships/hyperlink" Target="https://www.themoviedb.org/movie/1315405" TargetMode="External" Id="rId160"/><Relationship Type="http://schemas.openxmlformats.org/officeDocument/2006/relationships/hyperlink" Target="https://filmsaroundthe.world/country/marshall-islands/films/the-sound-of-crickets-at-night-f4460f9847c95abe6/" TargetMode="External" Id="rId161"/><Relationship Type="http://schemas.openxmlformats.org/officeDocument/2006/relationships/hyperlink" Target="https://www.themoviedb.org/movie/274489" TargetMode="External" Id="rId162"/><Relationship Type="http://schemas.openxmlformats.org/officeDocument/2006/relationships/hyperlink" Target="https://www.themoviedb.org/movie/854228" TargetMode="External" Id="rId163"/><Relationship Type="http://schemas.openxmlformats.org/officeDocument/2006/relationships/hyperlink" Target="https://www.themoviedb.org/movie/854228" TargetMode="External" Id="rId164"/><Relationship Type="http://schemas.openxmlformats.org/officeDocument/2006/relationships/hyperlink" Target="https://www.sacnilk.com/entertainmenttopbar/Top_10_Indian_Movies_(India_Net_Collection)" TargetMode="External" Id="rId165"/><Relationship Type="http://schemas.openxmlformats.org/officeDocument/2006/relationships/hyperlink" Target="https://www.themoviedb.org/movie/857598" TargetMode="External" Id="rId166"/><Relationship Type="http://schemas.openxmlformats.org/officeDocument/2006/relationships/hyperlink" Target="https://en.wikipedia.org/wiki/List_of_highest-grossing_films_in_Indonesia" TargetMode="External" Id="rId167"/><Relationship Type="http://schemas.openxmlformats.org/officeDocument/2006/relationships/hyperlink" Target="https://www.themoviedb.org/movie/1287571" TargetMode="External" Id="rId168"/><Relationship Type="http://schemas.openxmlformats.org/officeDocument/2006/relationships/hyperlink" Target="https://filmsaroundthe.world/country/iraq/films/the-president-s-cake-fe282b2427bd0bc7e/" TargetMode="External" Id="rId169"/><Relationship Type="http://schemas.openxmlformats.org/officeDocument/2006/relationships/hyperlink" Target="https://www.themoviedb.org/movie/1464883" TargetMode="External" Id="rId170"/><Relationship Type="http://schemas.openxmlformats.org/officeDocument/2006/relationships/hyperlink" Target="https://en.wikipedia.org/wiki/List_of_highest-grossing_Iranian_films" TargetMode="External" Id="rId171"/><Relationship Type="http://schemas.openxmlformats.org/officeDocument/2006/relationships/hyperlink" Target="https://www.themoviedb.org/movie/1354498" TargetMode="External" Id="rId172"/><Relationship Type="http://schemas.openxmlformats.org/officeDocument/2006/relationships/hyperlink" Target="https://en.wikipedia.org/wiki/The_Guard_(2011_film)" TargetMode="External" Id="rId173"/><Relationship Type="http://schemas.openxmlformats.org/officeDocument/2006/relationships/hyperlink" Target="https://www.themoviedb.org/movie/67913" TargetMode="External" Id="rId174"/><Relationship Type="http://schemas.openxmlformats.org/officeDocument/2006/relationships/hyperlink" Target="https://www.themoviedb.org/movie/788929" TargetMode="External" Id="rId175"/><Relationship Type="http://schemas.openxmlformats.org/officeDocument/2006/relationships/hyperlink" Target="https://www.themoviedb.org/movie/788929" TargetMode="External" Id="rId176"/><Relationship Type="http://schemas.openxmlformats.org/officeDocument/2006/relationships/hyperlink" Target="https://en.wikipedia.org/wiki/Lemon_Popsicle" TargetMode="External" Id="rId177"/><Relationship Type="http://schemas.openxmlformats.org/officeDocument/2006/relationships/hyperlink" Target="https://www.themoviedb.org/movie/10580" TargetMode="External" Id="rId178"/><Relationship Type="http://schemas.openxmlformats.org/officeDocument/2006/relationships/hyperlink" Target="https://en.wikipedia.org/wiki/List_of_highest-grossing_films_in_Italy" TargetMode="External" Id="rId179"/><Relationship Type="http://schemas.openxmlformats.org/officeDocument/2006/relationships/hyperlink" Target="https://www.themoviedb.org/movie/391" TargetMode="External" Id="rId180"/><Relationship Type="http://schemas.openxmlformats.org/officeDocument/2006/relationships/hyperlink" Target="https://en.wikipedia.org/wiki/Third_World_Cop" TargetMode="External" Id="rId181"/><Relationship Type="http://schemas.openxmlformats.org/officeDocument/2006/relationships/hyperlink" Target="https://www.themoviedb.org/movie/46686" TargetMode="External" Id="rId182"/><Relationship Type="http://schemas.openxmlformats.org/officeDocument/2006/relationships/hyperlink" Target="https://en.wikipedia.org/wiki/List_of_highest-grossing_films_in_Japan" TargetMode="External" Id="rId183"/><Relationship Type="http://schemas.openxmlformats.org/officeDocument/2006/relationships/hyperlink" Target="https://www.themoviedb.org/movie/635302" TargetMode="External" Id="rId184"/><Relationship Type="http://schemas.openxmlformats.org/officeDocument/2006/relationships/hyperlink" Target="https://www.themoviedb.org/movie/287628" TargetMode="External" Id="rId185"/><Relationship Type="http://schemas.openxmlformats.org/officeDocument/2006/relationships/hyperlink" Target="https://www.themoviedb.org/movie/287628" TargetMode="External" Id="rId186"/><Relationship Type="http://schemas.openxmlformats.org/officeDocument/2006/relationships/hyperlink" Target="https://kinomania.kz/kk/top-10-samyh-kassovyh-filmov-v-istorii-kazahstanskogo-kino/" TargetMode="External" Id="rId187"/><Relationship Type="http://schemas.openxmlformats.org/officeDocument/2006/relationships/hyperlink" Target="https://www.themoviedb.org/movie/1221435" TargetMode="External" Id="rId188"/><Relationship Type="http://schemas.openxmlformats.org/officeDocument/2006/relationships/hyperlink" Target="https://filmsaroundthe.world/country/kenya/films/nairobi-half-life-f7f907c0527196075/" TargetMode="External" Id="rId189"/><Relationship Type="http://schemas.openxmlformats.org/officeDocument/2006/relationships/hyperlink" Target="https://www.themoviedb.org/movie/130737" TargetMode="External" Id="rId190"/><Relationship Type="http://schemas.openxmlformats.org/officeDocument/2006/relationships/hyperlink" Target="https://filmsaroundthe.world/country/kyrgyzstan/films/the-white-ship-faadf3d31c5be3d9e/" TargetMode="External" Id="rId191"/><Relationship Type="http://schemas.openxmlformats.org/officeDocument/2006/relationships/hyperlink" Target="https://www.themoviedb.org/movie/263830" TargetMode="External" Id="rId192"/><Relationship Type="http://schemas.openxmlformats.org/officeDocument/2006/relationships/hyperlink" Target="https://www.themoviedb.org/movie/1253339" TargetMode="External" Id="rId193"/><Relationship Type="http://schemas.openxmlformats.org/officeDocument/2006/relationships/hyperlink" Target="https://www.themoviedb.org/movie/1253339" TargetMode="External" Id="rId194"/><Relationship Type="http://schemas.openxmlformats.org/officeDocument/2006/relationships/hyperlink" Target="https://filmsaroundthe.world/" TargetMode="External" Id="rId195"/><Relationship Type="http://schemas.openxmlformats.org/officeDocument/2006/relationships/hyperlink" Target="https://www.themoviedb.org/movie/776541" TargetMode="External" Id="rId196"/><Relationship Type="http://schemas.openxmlformats.org/officeDocument/2006/relationships/hyperlink" Target="https://www.themoviedb.org/movie/1257750" TargetMode="External" Id="rId197"/><Relationship Type="http://schemas.openxmlformats.org/officeDocument/2006/relationships/hyperlink" Target="https://www.themoviedb.org/movie/1257750" TargetMode="External" Id="rId198"/><Relationship Type="http://schemas.openxmlformats.org/officeDocument/2006/relationships/hyperlink" Target="https://filmsaroundthe.world/country/laos/films/sabaidee-luang-prabang-fd7dcd49f7e0ddc5d/" TargetMode="External" Id="rId199"/><Relationship Type="http://schemas.openxmlformats.org/officeDocument/2006/relationships/hyperlink" Target="https://www.themoviedb.org/movie/54822" TargetMode="External" Id="rId200"/><Relationship Type="http://schemas.openxmlformats.org/officeDocument/2006/relationships/hyperlink" Target="https://filmsaroundthe.world/country/lesotho/films/this-is-not-a-burial-it-s-a-resurrection-fa007522f36567179/" TargetMode="External" Id="rId201"/><Relationship Type="http://schemas.openxmlformats.org/officeDocument/2006/relationships/hyperlink" Target="https://www.themoviedb.org/movie/618208" TargetMode="External" Id="rId202"/><Relationship Type="http://schemas.openxmlformats.org/officeDocument/2006/relationships/hyperlink" Target="https://en.wikipedia.org/wiki/Cinema_of_Latvia" TargetMode="External" Id="rId203"/><Relationship Type="http://schemas.openxmlformats.org/officeDocument/2006/relationships/hyperlink" Target="https://www.themoviedb.org/movie/823219" TargetMode="External" Id="rId204"/><Relationship Type="http://schemas.openxmlformats.org/officeDocument/2006/relationships/hyperlink" Target="https://www.themoviedb.org/movie/7973" TargetMode="External" Id="rId205"/><Relationship Type="http://schemas.openxmlformats.org/officeDocument/2006/relationships/hyperlink" Target="https://www.themoviedb.org/movie/7973" TargetMode="External" Id="rId206"/><Relationship Type="http://schemas.openxmlformats.org/officeDocument/2006/relationships/hyperlink" Target="https://filmsaroundthe.world/" TargetMode="External" Id="rId207"/><Relationship Type="http://schemas.openxmlformats.org/officeDocument/2006/relationships/hyperlink" Target="https://www.themoviedb.org/movie/442185" TargetMode="External" Id="rId208"/><Relationship Type="http://schemas.openxmlformats.org/officeDocument/2006/relationships/hyperlink" Target="https://www.themoviedb.org/movie/642483" TargetMode="External" Id="rId209"/><Relationship Type="http://schemas.openxmlformats.org/officeDocument/2006/relationships/hyperlink" Target="https://www.themoviedb.org/movie/642483" TargetMode="External" Id="rId210"/><Relationship Type="http://schemas.openxmlformats.org/officeDocument/2006/relationships/hyperlink" Target="https://filmsaroundthe.world/country/liechtenstein/films/children-of-the-mountains-f88071c06690dc900/" TargetMode="External" Id="rId211"/><Relationship Type="http://schemas.openxmlformats.org/officeDocument/2006/relationships/hyperlink" Target="https://www.themoviedb.org/movie/314947" TargetMode="External" Id="rId212"/><Relationship Type="http://schemas.openxmlformats.org/officeDocument/2006/relationships/hyperlink" Target="https://en.wikipedia.org/wiki/The_Southern_Chronicles" TargetMode="External" Id="rId213"/><Relationship Type="http://schemas.openxmlformats.org/officeDocument/2006/relationships/hyperlink" Target="https://www.themoviedb.org/movie/1252855" TargetMode="External" Id="rId214"/><Relationship Type="http://schemas.openxmlformats.org/officeDocument/2006/relationships/hyperlink" Target="https://filmsaroundthe.world/country/luxembourg/films/baby-a-lone-f0e976aa6d7ac0ecd/" TargetMode="External" Id="rId215"/><Relationship Type="http://schemas.openxmlformats.org/officeDocument/2006/relationships/hyperlink" Target="https://www.themoviedb.org/movie/330847" TargetMode="External" Id="rId216"/><Relationship Type="http://schemas.openxmlformats.org/officeDocument/2006/relationships/hyperlink" Target="https://en.wikipedia.org/wiki/Cinema_of_North_Macedonia" TargetMode="External" Id="rId217"/><Relationship Type="http://schemas.openxmlformats.org/officeDocument/2006/relationships/hyperlink" Target="https://www.themoviedb.org/movie/57218" TargetMode="External" Id="rId218"/><Relationship Type="http://schemas.openxmlformats.org/officeDocument/2006/relationships/hyperlink" Target="https://filmsaroundthe.world/country/madagascar/films/tabataba-f670d6d0801fbea65/" TargetMode="External" Id="rId219"/><Relationship Type="http://schemas.openxmlformats.org/officeDocument/2006/relationships/hyperlink" Target="https://www.themoviedb.org/movie/266418" TargetMode="External" Id="rId220"/><Relationship Type="http://schemas.openxmlformats.org/officeDocument/2006/relationships/hyperlink" Target="https://en.wikipedia.org/wiki/List_of_highest-grossing_films_in_Malaysia" TargetMode="External" Id="rId221"/><Relationship Type="http://schemas.openxmlformats.org/officeDocument/2006/relationships/hyperlink" Target="https://www.themoviedb.org/movie/988595" TargetMode="External" Id="rId222"/><Relationship Type="http://schemas.openxmlformats.org/officeDocument/2006/relationships/hyperlink" Target="https://filmsaroundthe.world/" TargetMode="External" Id="rId223"/><Relationship Type="http://schemas.openxmlformats.org/officeDocument/2006/relationships/hyperlink" Target="https://www.themoviedb.org/movie/505061" TargetMode="External" Id="rId224"/><Relationship Type="http://schemas.openxmlformats.org/officeDocument/2006/relationships/hyperlink" Target="https://filmsaroundthe.world/country/maldives/films/dheriyaa-fd7325e081b004662/" TargetMode="External" Id="rId225"/><Relationship Type="http://schemas.openxmlformats.org/officeDocument/2006/relationships/hyperlink" Target="https://www.themoviedb.org/movie/470973" TargetMode="External" Id="rId226"/><Relationship Type="http://schemas.openxmlformats.org/officeDocument/2006/relationships/hyperlink" Target="https://filmsaroundthe.world/country/mali/films/yeelen-f64ddce36d2fa08fa/" TargetMode="External" Id="rId227"/><Relationship Type="http://schemas.openxmlformats.org/officeDocument/2006/relationships/hyperlink" Target="https://www.themoviedb.org/movie/71329" TargetMode="External" Id="rId228"/><Relationship Type="http://schemas.openxmlformats.org/officeDocument/2006/relationships/hyperlink" Target="https://www.themoviedb.org/movie/543915" TargetMode="External" Id="rId229"/><Relationship Type="http://schemas.openxmlformats.org/officeDocument/2006/relationships/hyperlink" Target="https://www.themoviedb.org/movie/543915" TargetMode="External" Id="rId230"/><Relationship Type="http://schemas.openxmlformats.org/officeDocument/2006/relationships/hyperlink" Target="https://www.lodj.ma/Jouj-Rouah-depasse-le-cap-des-500-000-spectateurs-et-marque-un-tournant-dans-l-histoire-du-cinema-marocain_a175135.html" TargetMode="External" Id="rId231"/><Relationship Type="http://schemas.openxmlformats.org/officeDocument/2006/relationships/hyperlink" Target="https://filmsaroundthe.world/country/mauritania/films/waiting-for-happiness-fe84e424ab94278cf/" TargetMode="External" Id="rId232"/><Relationship Type="http://schemas.openxmlformats.org/officeDocument/2006/relationships/hyperlink" Target="https://www.themoviedb.org/movie/47226" TargetMode="External" Id="rId233"/><Relationship Type="http://schemas.openxmlformats.org/officeDocument/2006/relationships/hyperlink" Target="https://en.wikipedia.org/wiki/List_of_highest-grossing_Mexican_films" TargetMode="External" Id="rId234"/><Relationship Type="http://schemas.openxmlformats.org/officeDocument/2006/relationships/hyperlink" Target="https://www.themoviedb.org/movie/211954" TargetMode="External" Id="rId235"/><Relationship Type="http://schemas.openxmlformats.org/officeDocument/2006/relationships/hyperlink" Target="https://en.wikipedia.org/wiki/Cinema_of_Moldova" TargetMode="External" Id="rId236"/><Relationship Type="http://schemas.openxmlformats.org/officeDocument/2006/relationships/hyperlink" Target="https://www.themoviedb.org/movie/865577" TargetMode="External" Id="rId237"/><Relationship Type="http://schemas.openxmlformats.org/officeDocument/2006/relationships/hyperlink" Target="https://www.themoviedb.org/movie/922617" TargetMode="External" Id="rId238"/><Relationship Type="http://schemas.openxmlformats.org/officeDocument/2006/relationships/hyperlink" Target="https://www.themoviedb.org/movie/922617" TargetMode="External" Id="rId239"/><Relationship Type="http://schemas.openxmlformats.org/officeDocument/2006/relationships/hyperlink" Target="https://www.themoviedb.org/movie/960481" TargetMode="External" Id="rId240"/><Relationship Type="http://schemas.openxmlformats.org/officeDocument/2006/relationships/hyperlink" Target="https://www.themoviedb.org/movie/960481" TargetMode="External" Id="rId241"/><Relationship Type="http://schemas.openxmlformats.org/officeDocument/2006/relationships/hyperlink" Target="https://filmsaroundthe.world/country/montenegro/films/the-tower-of-strength-f1fa396c80e78c442/" TargetMode="External" Id="rId242"/><Relationship Type="http://schemas.openxmlformats.org/officeDocument/2006/relationships/hyperlink" Target="https://www.themoviedb.org/movie/1353581" TargetMode="External" Id="rId243"/><Relationship Type="http://schemas.openxmlformats.org/officeDocument/2006/relationships/hyperlink" Target="https://www.themoviedb.org/movie/408296" TargetMode="External" Id="rId244"/><Relationship Type="http://schemas.openxmlformats.org/officeDocument/2006/relationships/hyperlink" Target="https://www.themoviedb.org/movie/408296" TargetMode="External" Id="rId245"/><Relationship Type="http://schemas.openxmlformats.org/officeDocument/2006/relationships/hyperlink" Target="https://filmsaroundthe.world/country/namibia/films/katutura-f4fe5a5d8e64bde6c/" TargetMode="External" Id="rId246"/><Relationship Type="http://schemas.openxmlformats.org/officeDocument/2006/relationships/hyperlink" Target="https://www.themoviedb.org/movie/308555" TargetMode="External" Id="rId247"/><Relationship Type="http://schemas.openxmlformats.org/officeDocument/2006/relationships/hyperlink" Target="https://www.themoviedb.org/movie/1700768" TargetMode="External" Id="rId248"/><Relationship Type="http://schemas.openxmlformats.org/officeDocument/2006/relationships/hyperlink" Target="https://www.themoviedb.org/movie/1700768" TargetMode="External" Id="rId249"/><Relationship Type="http://schemas.openxmlformats.org/officeDocument/2006/relationships/hyperlink" Target="https://en.wikipedia.org/wiki/List_of_highest-grossing_films_in_Nepal" TargetMode="External" Id="rId250"/><Relationship Type="http://schemas.openxmlformats.org/officeDocument/2006/relationships/hyperlink" Target="https://www.themoviedb.org/movie/1383481" TargetMode="External" Id="rId251"/><Relationship Type="http://schemas.openxmlformats.org/officeDocument/2006/relationships/hyperlink" Target="https://casiliteral.com/la-ventana-discreta/diez-anos-de-la-pelicula-nicaraguense-la-yuma/" TargetMode="External" Id="rId252"/><Relationship Type="http://schemas.openxmlformats.org/officeDocument/2006/relationships/hyperlink" Target="https://www.themoviedb.org/movie/162654" TargetMode="External" Id="rId253"/><Relationship Type="http://schemas.openxmlformats.org/officeDocument/2006/relationships/hyperlink" Target="https://filmsaroundthe.world/country/niger/films/the-wedding-ring-fc5471ef799bb29c7/" TargetMode="External" Id="rId254"/><Relationship Type="http://schemas.openxmlformats.org/officeDocument/2006/relationships/hyperlink" Target="https://www.themoviedb.org/movie/412211" TargetMode="External" Id="rId255"/><Relationship Type="http://schemas.openxmlformats.org/officeDocument/2006/relationships/hyperlink" Target="https://en.wikipedia.org/wiki/List_of_highest-grossing_Nigerian_films" TargetMode="External" Id="rId256"/><Relationship Type="http://schemas.openxmlformats.org/officeDocument/2006/relationships/hyperlink" Target="https://www.themoviedb.org/movie/1592862" TargetMode="External" Id="rId257"/><Relationship Type="http://schemas.openxmlformats.org/officeDocument/2006/relationships/hyperlink" Target="https://no.wikipedia.org/wiki/Fl%C3%A5klypa_Grand_Prix" TargetMode="External" Id="rId258"/><Relationship Type="http://schemas.openxmlformats.org/officeDocument/2006/relationships/hyperlink" Target="https://www.themoviedb.org/movie/492015" TargetMode="External" Id="rId259"/><Relationship Type="http://schemas.openxmlformats.org/officeDocument/2006/relationships/hyperlink" Target="https://www.nzfilm.co.nz/assets/resources/Top20Films_NZFC_Nov25.pdf" TargetMode="External" Id="rId260"/><Relationship Type="http://schemas.openxmlformats.org/officeDocument/2006/relationships/hyperlink" Target="https://www.themoviedb.org/movie/371645" TargetMode="External" Id="rId261"/><Relationship Type="http://schemas.openxmlformats.org/officeDocument/2006/relationships/hyperlink" Target="https://www.themoviedb.org/movie/889106" TargetMode="External" Id="rId262"/><Relationship Type="http://schemas.openxmlformats.org/officeDocument/2006/relationships/hyperlink" Target="https://www.themoviedb.org/movie/889106" TargetMode="External" Id="rId263"/><Relationship Type="http://schemas.openxmlformats.org/officeDocument/2006/relationships/hyperlink" Target="https://filmsaroundthe.world/country/uganda/films/who-killed-captain-alex-fa593b4f7135cbdf4/" TargetMode="External" Id="rId264"/><Relationship Type="http://schemas.openxmlformats.org/officeDocument/2006/relationships/hyperlink" Target="https://www.themoviedb.org/movie/316776" TargetMode="External" Id="rId265"/><Relationship Type="http://schemas.openxmlformats.org/officeDocument/2006/relationships/hyperlink" Target="https://www.pbs.org/video/uzbekistan-nl3JOm" TargetMode="External" Id="rId266"/><Relationship Type="http://schemas.openxmlformats.org/officeDocument/2006/relationships/hyperlink" Target="https://www.themoviedb.org/movie/914434" TargetMode="External" Id="rId267"/><Relationship Type="http://schemas.openxmlformats.org/officeDocument/2006/relationships/hyperlink" Target="https://en.wikipedia.org/wiki/List_of_highest_grossing_Pakistani_films" TargetMode="External" Id="rId268"/><Relationship Type="http://schemas.openxmlformats.org/officeDocument/2006/relationships/hyperlink" Target="https://www.themoviedb.org/movie/464293" TargetMode="External" Id="rId269"/><Relationship Type="http://schemas.openxmlformats.org/officeDocument/2006/relationships/hyperlink" Target="https://www.themoviedb.org/movie/187028" TargetMode="External" Id="rId270"/><Relationship Type="http://schemas.openxmlformats.org/officeDocument/2006/relationships/hyperlink" Target="https://www.themoviedb.org/movie/187028" TargetMode="External" Id="rId271"/><Relationship Type="http://schemas.openxmlformats.org/officeDocument/2006/relationships/hyperlink" Target="https://es.wikipedia.org/wiki/Abner_Benaim" TargetMode="External" Id="rId272"/><Relationship Type="http://schemas.openxmlformats.org/officeDocument/2006/relationships/hyperlink" Target="https://www.themoviedb.org/movie/64127" TargetMode="External" Id="rId273"/><Relationship Type="http://schemas.openxmlformats.org/officeDocument/2006/relationships/hyperlink" Target="https://www.themoviedb.org/movie/1152467" TargetMode="External" Id="rId274"/><Relationship Type="http://schemas.openxmlformats.org/officeDocument/2006/relationships/hyperlink" Target="https://www.themoviedb.org/movie/1152467" TargetMode="External" Id="rId275"/><Relationship Type="http://schemas.openxmlformats.org/officeDocument/2006/relationships/hyperlink" Target="https://www.lanacion.com.py/espectaculo/2026/06/05/narciso-y-el-renacer-albirrojo-destacan-en-la-taquilla-nacional" TargetMode="External" Id="rId276"/><Relationship Type="http://schemas.openxmlformats.org/officeDocument/2006/relationships/hyperlink" Target="https://www.themoviedb.org/movie/127847" TargetMode="External" Id="rId277"/><Relationship Type="http://schemas.openxmlformats.org/officeDocument/2006/relationships/hyperlink" Target="https://nl.wikipedia.org/wiki/Lijst_van_succesvolste_Nederlandse_films" TargetMode="External" Id="rId278"/><Relationship Type="http://schemas.openxmlformats.org/officeDocument/2006/relationships/hyperlink" Target="https://www.themoviedb.org/movie/21035" TargetMode="External" Id="rId279"/><Relationship Type="http://schemas.openxmlformats.org/officeDocument/2006/relationships/hyperlink" Target="https://es.wikipedia.org/wiki/Anexo:Pel%C3%ADculas_de_Per%C3%BA" TargetMode="External" Id="rId280"/><Relationship Type="http://schemas.openxmlformats.org/officeDocument/2006/relationships/hyperlink" Target="https://www.themoviedb.org/movie/335031" TargetMode="External" Id="rId281"/><Relationship Type="http://schemas.openxmlformats.org/officeDocument/2006/relationships/hyperlink" Target="https://en.wikipedia.org/wiki/List_of_highest-grossing_films_in_the_Philippines" TargetMode="External" Id="rId282"/><Relationship Type="http://schemas.openxmlformats.org/officeDocument/2006/relationships/hyperlink" Target="https://www.themoviedb.org/movie/1292359" TargetMode="External" Id="rId283"/><Relationship Type="http://schemas.openxmlformats.org/officeDocument/2006/relationships/hyperlink" Target="https://pl.wikipedia.org/wiki/Lista_film%C3%B3w_z_najwi%C4%99ksz%C4%85_liczb%C4%85_widz%C3%B3w_w_Polsce" TargetMode="External" Id="rId284"/><Relationship Type="http://schemas.openxmlformats.org/officeDocument/2006/relationships/hyperlink" Target="https://www.themoviedb.org/movie/66030" TargetMode="External" Id="rId285"/><Relationship Type="http://schemas.openxmlformats.org/officeDocument/2006/relationships/hyperlink" Target="https://pt.wikipedia.org/wiki/A_Gaiola_Dourada" TargetMode="External" Id="rId286"/><Relationship Type="http://schemas.openxmlformats.org/officeDocument/2006/relationships/hyperlink" Target="https://www.themoviedb.org/movie/186161" TargetMode="External" Id="rId287"/><Relationship Type="http://schemas.openxmlformats.org/officeDocument/2006/relationships/hyperlink" Target="https://www.themoviedb.org/movie/1069200" TargetMode="External" Id="rId288"/><Relationship Type="http://schemas.openxmlformats.org/officeDocument/2006/relationships/hyperlink" Target="https://www.themoviedb.org/movie/1069200" TargetMode="External" Id="rId289"/><Relationship Type="http://schemas.openxmlformats.org/officeDocument/2006/relationships/hyperlink" Target="https://www.themoviedb.org/movie/1666683" TargetMode="External" Id="rId290"/><Relationship Type="http://schemas.openxmlformats.org/officeDocument/2006/relationships/hyperlink" Target="https://www.themoviedb.org/movie/1666683" TargetMode="External" Id="rId291"/><Relationship Type="http://schemas.openxmlformats.org/officeDocument/2006/relationships/hyperlink" Target="https://eldia.com.do/las-10-peliculasdominicanas-mas-taquilleras-de-todos-los-tiempos/" TargetMode="External" Id="rId292"/><Relationship Type="http://schemas.openxmlformats.org/officeDocument/2006/relationships/hyperlink" Target="https://www.themoviedb.org/movie/25000" TargetMode="External" Id="rId293"/><Relationship Type="http://schemas.openxmlformats.org/officeDocument/2006/relationships/hyperlink" Target="https://ro.wikipedia.org/wiki/Nea_M%C4%83rin_miliardar" TargetMode="External" Id="rId294"/><Relationship Type="http://schemas.openxmlformats.org/officeDocument/2006/relationships/hyperlink" Target="https://www.themoviedb.org/movie/179519" TargetMode="External" Id="rId295"/><Relationship Type="http://schemas.openxmlformats.org/officeDocument/2006/relationships/hyperlink" Target="https://en.wikipedia.org/wiki/List_of_highest-grossing_films_in_the_United_Kingdom" TargetMode="External" Id="rId296"/><Relationship Type="http://schemas.openxmlformats.org/officeDocument/2006/relationships/hyperlink" Target="https://www.themoviedb.org/movie/254261" TargetMode="External" Id="rId297"/><Relationship Type="http://schemas.openxmlformats.org/officeDocument/2006/relationships/hyperlink" Target="https://ru.wikipedia.org/wiki/&#1057;&#1087;&#1080;&#1089;&#1086;&#1082;_&#1089;&#1072;&#1084;&#1099;&#1093;_&#1082;&#1072;&#1089;&#1089;&#1086;&#1074;&#1099;&#1093;_&#1092;&#1080;&#1083;&#1100;&#1084;&#1086;&#1074;_&#1074;_&#1056;&#1086;&#1089;&#1089;&#1080;&#1080;" TargetMode="External" Id="rId298"/><Relationship Type="http://schemas.openxmlformats.org/officeDocument/2006/relationships/hyperlink" Target="https://www.themoviedb.org/movie/751171" TargetMode="External" Id="rId299"/><Relationship Type="http://schemas.openxmlformats.org/officeDocument/2006/relationships/hyperlink" Target="https://filmsaroundthe.world/country/rwanda/films/the-mercy-of-the-jungle-f656951146a226db0/" TargetMode="External" Id="rId300"/><Relationship Type="http://schemas.openxmlformats.org/officeDocument/2006/relationships/hyperlink" Target="https://www.themoviedb.org/movie/515348" TargetMode="External" Id="rId301"/><Relationship Type="http://schemas.openxmlformats.org/officeDocument/2006/relationships/hyperlink" Target="https://www.themoviedb.org/movie/1138749" TargetMode="External" Id="rId302"/><Relationship Type="http://schemas.openxmlformats.org/officeDocument/2006/relationships/hyperlink" Target="https://www.themoviedb.org/movie/1138749" TargetMode="External" Id="rId303"/><Relationship Type="http://schemas.openxmlformats.org/officeDocument/2006/relationships/hyperlink" Target="https://www.themoviedb.org/movie/1596771" TargetMode="External" Id="rId304"/><Relationship Type="http://schemas.openxmlformats.org/officeDocument/2006/relationships/hyperlink" Target="https://www.themoviedb.org/movie/1596771" TargetMode="External" Id="rId305"/><Relationship Type="http://schemas.openxmlformats.org/officeDocument/2006/relationships/hyperlink" Target="https://www.themoviedb.org/movie/1404691" TargetMode="External" Id="rId306"/><Relationship Type="http://schemas.openxmlformats.org/officeDocument/2006/relationships/hyperlink" Target="https://www.themoviedb.org/movie/1404691" TargetMode="External" Id="rId307"/><Relationship Type="http://schemas.openxmlformats.org/officeDocument/2006/relationships/hyperlink" Target="https://www.themoviedb.org/movie/999158" TargetMode="External" Id="rId308"/><Relationship Type="http://schemas.openxmlformats.org/officeDocument/2006/relationships/hyperlink" Target="https://www.themoviedb.org/movie/999158" TargetMode="External" Id="rId309"/><Relationship Type="http://schemas.openxmlformats.org/officeDocument/2006/relationships/hyperlink" Target="https://www.screendaily.com/news/premiere-entertainment-groups-the-ballad-of-hortensia-smashes-el-salvador-box-office-record-exclusive/5200419.article" TargetMode="External" Id="rId310"/><Relationship Type="http://schemas.openxmlformats.org/officeDocument/2006/relationships/hyperlink" Target="https://www.themoviedb.org/movie/1366250" TargetMode="External" Id="rId311"/><Relationship Type="http://schemas.openxmlformats.org/officeDocument/2006/relationships/hyperlink" Target="https://filmsaroundthe.world/country/samoa/films/the-orator-f9c4e654658588bed/" TargetMode="External" Id="rId312"/><Relationship Type="http://schemas.openxmlformats.org/officeDocument/2006/relationships/hyperlink" Target="https://www.themoviedb.org/movie/77322" TargetMode="External" Id="rId313"/><Relationship Type="http://schemas.openxmlformats.org/officeDocument/2006/relationships/hyperlink" Target="https://filmsaroundthe.world/country/sao-tome-and-principe/films/a-frutinha-do-equador-f3ee1b3165ff9340c/" TargetMode="External" Id="rId314"/><Relationship Type="http://schemas.openxmlformats.org/officeDocument/2006/relationships/hyperlink" Target="https://www.themoviedb.org/movie/77771" TargetMode="External" Id="rId315"/><Relationship Type="http://schemas.openxmlformats.org/officeDocument/2006/relationships/hyperlink" Target="https://www.themoviedb.org/movie/77771" TargetMode="External" Id="rId316"/><Relationship Type="http://schemas.openxmlformats.org/officeDocument/2006/relationships/hyperlink" Target="https://en.wikipedia.org/wiki/Montevideo,_God_Bless_You!" TargetMode="External" Id="rId317"/><Relationship Type="http://schemas.openxmlformats.org/officeDocument/2006/relationships/hyperlink" Target="https://www.themoviedb.org/movie/57419" TargetMode="External" Id="rId318"/><Relationship Type="http://schemas.openxmlformats.org/officeDocument/2006/relationships/hyperlink" Target="https://filmsaroundthe.world/country/seychelles/films/bolot-feray-f7549482b57cf5ed7/" TargetMode="External" Id="rId319"/><Relationship Type="http://schemas.openxmlformats.org/officeDocument/2006/relationships/hyperlink" Target="https://www.themoviedb.org/movie/621202" TargetMode="External" Id="rId320"/><Relationship Type="http://schemas.openxmlformats.org/officeDocument/2006/relationships/hyperlink" Target="https://www.themoviedb.org/movie/1251987" TargetMode="External" Id="rId321"/><Relationship Type="http://schemas.openxmlformats.org/officeDocument/2006/relationships/hyperlink" Target="https://www.themoviedb.org/movie/1251987" TargetMode="External" Id="rId322"/><Relationship Type="http://schemas.openxmlformats.org/officeDocument/2006/relationships/hyperlink" Target="https://en.wikipedia.org/wiki/List_of_highest-grossing_films_in_Singapore" TargetMode="External" Id="rId323"/><Relationship Type="http://schemas.openxmlformats.org/officeDocument/2006/relationships/hyperlink" Target="https://www.themoviedb.org/movie/193173" TargetMode="External" Id="rId324"/><Relationship Type="http://schemas.openxmlformats.org/officeDocument/2006/relationships/hyperlink" Target="https://www.film.sk" TargetMode="External" Id="rId325"/><Relationship Type="http://schemas.openxmlformats.org/officeDocument/2006/relationships/hyperlink" Target="https://www.themoviedb.org/movie/650981" TargetMode="External" Id="rId326"/><Relationship Type="http://schemas.openxmlformats.org/officeDocument/2006/relationships/hyperlink" Target="https://sl.wikipedia.org/wiki/Seznam_najbolj_gledanih_slovenskih_filmov_v_Sloveniji" TargetMode="External" Id="rId327"/><Relationship Type="http://schemas.openxmlformats.org/officeDocument/2006/relationships/hyperlink" Target="https://www.themoviedb.org/movie/421802" TargetMode="External" Id="rId328"/><Relationship Type="http://schemas.openxmlformats.org/officeDocument/2006/relationships/hyperlink" Target="https://filmsaroundthe.world/country/somalia/films/geedka-nolosha-faa358e95cf466bf3/" TargetMode="External" Id="rId329"/><Relationship Type="http://schemas.openxmlformats.org/officeDocument/2006/relationships/hyperlink" Target="https://www.themoviedb.org/movie/276682" TargetMode="External" Id="rId330"/><Relationship Type="http://schemas.openxmlformats.org/officeDocument/2006/relationships/hyperlink" Target="https://filmsaroundthe.world/country/sudan/films/you-will-die-at-20-f0fb74ef42e0ea990/" TargetMode="External" Id="rId331"/><Relationship Type="http://schemas.openxmlformats.org/officeDocument/2006/relationships/hyperlink" Target="https://www.themoviedb.org/movie/617710" TargetMode="External" Id="rId332"/><Relationship Type="http://schemas.openxmlformats.org/officeDocument/2006/relationships/hyperlink" Target="https://www.themoviedb.org/movie/1152618" TargetMode="External" Id="rId333"/><Relationship Type="http://schemas.openxmlformats.org/officeDocument/2006/relationships/hyperlink" Target="https://www.themoviedb.org/movie/1152618" TargetMode="External" Id="rId334"/><Relationship Type="http://schemas.openxmlformats.org/officeDocument/2006/relationships/hyperlink" Target="https://variety.com/2025/film/news/sri-lankan-comedy-tentigo-remakes-box-office-success-1236486395/" TargetMode="External" Id="rId335"/><Relationship Type="http://schemas.openxmlformats.org/officeDocument/2006/relationships/hyperlink" Target="https://www.themoviedb.org/movie/881201" TargetMode="External" Id="rId336"/><Relationship Type="http://schemas.openxmlformats.org/officeDocument/2006/relationships/hyperlink" Target="https://sv.wikipedia.org/wiki/Lista_%C3%B6ver_mest_sedda_filmer_i_Sverige" TargetMode="External" Id="rId337"/><Relationship Type="http://schemas.openxmlformats.org/officeDocument/2006/relationships/hyperlink" Target="https://www.themoviedb.org/movie/16026" TargetMode="External" Id="rId338"/><Relationship Type="http://schemas.openxmlformats.org/officeDocument/2006/relationships/hyperlink" Target="https://outnow.ch" TargetMode="External" Id="rId339"/><Relationship Type="http://schemas.openxmlformats.org/officeDocument/2006/relationships/hyperlink" Target="https://www.themoviedb.org/movie/34666" TargetMode="External" Id="rId340"/><Relationship Type="http://schemas.openxmlformats.org/officeDocument/2006/relationships/hyperlink" Target="https://www.themoviedb.org/movie/65432" TargetMode="External" Id="rId341"/><Relationship Type="http://schemas.openxmlformats.org/officeDocument/2006/relationships/hyperlink" Target="https://www.themoviedb.org/movie/65432" TargetMode="External" Id="rId342"/><Relationship Type="http://schemas.openxmlformats.org/officeDocument/2006/relationships/hyperlink" Target="https://www.themoviedb.org/movie/178535" TargetMode="External" Id="rId343"/><Relationship Type="http://schemas.openxmlformats.org/officeDocument/2006/relationships/hyperlink" Target="https://www.themoviedb.org/movie/178535" TargetMode="External" Id="rId344"/><Relationship Type="http://schemas.openxmlformats.org/officeDocument/2006/relationships/hyperlink" Target="https://filmsaroundthe.world/country/tajikistan/films/the-bodyguard-f95f978289c2ebe76/" TargetMode="External" Id="rId345"/><Relationship Type="http://schemas.openxmlformats.org/officeDocument/2006/relationships/hyperlink" Target="https://www.themoviedb.org/movie/262514" TargetMode="External" Id="rId346"/><Relationship Type="http://schemas.openxmlformats.org/officeDocument/2006/relationships/hyperlink" Target="https://www.cna.com.tw/news/amov/202602150093.aspx" TargetMode="External" Id="rId347"/><Relationship Type="http://schemas.openxmlformats.org/officeDocument/2006/relationships/hyperlink" Target="https://www.themoviedb.org/movie/1481955" TargetMode="External" Id="rId348"/><Relationship Type="http://schemas.openxmlformats.org/officeDocument/2006/relationships/hyperlink" Target="https://www.themoviedb.org/movie/164233" TargetMode="External" Id="rId349"/><Relationship Type="http://schemas.openxmlformats.org/officeDocument/2006/relationships/hyperlink" Target="https://www.themoviedb.org/movie/164233" TargetMode="External" Id="rId350"/><Relationship Type="http://schemas.openxmlformats.org/officeDocument/2006/relationships/hyperlink" Target="https://filmsaroundthe.world/country/chad/films/bye-bye-africa-fb34bc995d48acfbe/" TargetMode="External" Id="rId351"/><Relationship Type="http://schemas.openxmlformats.org/officeDocument/2006/relationships/hyperlink" Target="https://www.themoviedb.org/movie/276186" TargetMode="External" Id="rId352"/><Relationship Type="http://schemas.openxmlformats.org/officeDocument/2006/relationships/hyperlink" Target="https://cs.wikipedia.org/wiki/Seznam_nejnav%C5%A1t%C4%9Bvovan%C4%9Bj%C5%A1%C3%ADch_%C4%8Desk%C3%BDch_film%C5%AF" TargetMode="External" Id="rId353"/><Relationship Type="http://schemas.openxmlformats.org/officeDocument/2006/relationships/hyperlink" Target="https://www.themoviedb.org/movie/41228" TargetMode="External" Id="rId354"/><Relationship Type="http://schemas.openxmlformats.org/officeDocument/2006/relationships/hyperlink" Target="https://en.wikipedia.org/wiki/List_of_highest-grossing_films_in_Thailand" TargetMode="External" Id="rId355"/><Relationship Type="http://schemas.openxmlformats.org/officeDocument/2006/relationships/hyperlink" Target="https://www.themoviedb.org/movie/184219" TargetMode="External" Id="rId356"/><Relationship Type="http://schemas.openxmlformats.org/officeDocument/2006/relationships/hyperlink" Target="https://filmsaroundthe.world/country/east-timor/films/beatriz-s-war-fb1c1aa7b9ce8fd0c/" TargetMode="External" Id="rId357"/><Relationship Type="http://schemas.openxmlformats.org/officeDocument/2006/relationships/hyperlink" Target="https://www.themoviedb.org/movie/275008" TargetMode="External" Id="rId358"/><Relationship Type="http://schemas.openxmlformats.org/officeDocument/2006/relationships/hyperlink" Target="https://filmsaroundthe.world/country/togo/films/le-coup-de-grace-fc63bbe54e7798945/" TargetMode="External" Id="rId359"/><Relationship Type="http://schemas.openxmlformats.org/officeDocument/2006/relationships/hyperlink" Target="https://www.themoviedb.org/movie/1086356" TargetMode="External" Id="rId360"/><Relationship Type="http://schemas.openxmlformats.org/officeDocument/2006/relationships/hyperlink" Target="https://www.themoviedb.org/movie/798772" TargetMode="External" Id="rId361"/><Relationship Type="http://schemas.openxmlformats.org/officeDocument/2006/relationships/hyperlink" Target="https://www.themoviedb.org/movie/798772" TargetMode="External" Id="rId362"/><Relationship Type="http://schemas.openxmlformats.org/officeDocument/2006/relationships/hyperlink" Target="https://filmsaroundthe.world/country/trinidad-and-tobago/films/god-loves-the-fighter-f665c27028fc8a3c0/" TargetMode="External" Id="rId363"/><Relationship Type="http://schemas.openxmlformats.org/officeDocument/2006/relationships/hyperlink" Target="https://www.themoviedb.org/movie/307631" TargetMode="External" Id="rId364"/><Relationship Type="http://schemas.openxmlformats.org/officeDocument/2006/relationships/hyperlink" Target="https://www.themoviedb.org/movie/1480382" TargetMode="External" Id="rId365"/><Relationship Type="http://schemas.openxmlformats.org/officeDocument/2006/relationships/hyperlink" Target="https://www.themoviedb.org/movie/1480382" TargetMode="External" Id="rId366"/><Relationship Type="http://schemas.openxmlformats.org/officeDocument/2006/relationships/hyperlink" Target="https://filmsaroundthe.world/country/turkmenistan/films/the-daughter-in-law-f74630997f93ef780/" TargetMode="External" Id="rId367"/><Relationship Type="http://schemas.openxmlformats.org/officeDocument/2006/relationships/hyperlink" Target="https://www.themoviedb.org/movie/108526" TargetMode="External" Id="rId368"/><Relationship Type="http://schemas.openxmlformats.org/officeDocument/2006/relationships/hyperlink" Target="https://tr.wikipedia.org/wiki/En_&#231;ok_izlenen_T&#252;rk_yap&#305;m&#305;_100_film" TargetMode="External" Id="rId369"/><Relationship Type="http://schemas.openxmlformats.org/officeDocument/2006/relationships/hyperlink" Target="https://www.themoviedb.org/movie/438703" TargetMode="External" Id="rId370"/><Relationship Type="http://schemas.openxmlformats.org/officeDocument/2006/relationships/hyperlink" Target="https://www.themoviedb.org/movie/287423" TargetMode="External" Id="rId371"/><Relationship Type="http://schemas.openxmlformats.org/officeDocument/2006/relationships/hyperlink" Target="https://www.themoviedb.org/movie/287423" TargetMode="External" Id="rId372"/><Relationship Type="http://schemas.openxmlformats.org/officeDocument/2006/relationships/hyperlink" Target="https://en.wikipedia.org/wiki/Crazy_Wedding" TargetMode="External" Id="rId373"/><Relationship Type="http://schemas.openxmlformats.org/officeDocument/2006/relationships/hyperlink" Target="https://www.themoviedb.org/movie/552441" TargetMode="External" Id="rId374"/><Relationship Type="http://schemas.openxmlformats.org/officeDocument/2006/relationships/hyperlink" Target="https://www.subrayado.com.uy/uruguay-el-cine-estas-son-las-peliculas-mas-vistas-la-historia-n1016292" TargetMode="External" Id="rId375"/><Relationship Type="http://schemas.openxmlformats.org/officeDocument/2006/relationships/hyperlink" Target="https://www.themoviedb.org/movie/61072" TargetMode="External" Id="rId376"/><Relationship Type="http://schemas.openxmlformats.org/officeDocument/2006/relationships/hyperlink" Target="https://www.themoviedb.org/movie/933949" TargetMode="External" Id="rId377"/><Relationship Type="http://schemas.openxmlformats.org/officeDocument/2006/relationships/hyperlink" Target="https://www.themoviedb.org/movie/933949" TargetMode="External" Id="rId378"/><Relationship Type="http://schemas.openxmlformats.org/officeDocument/2006/relationships/hyperlink" Target="https://es.wikipedia.org/wiki/Cine_de_Venezuela" TargetMode="External" Id="rId379"/><Relationship Type="http://schemas.openxmlformats.org/officeDocument/2006/relationships/hyperlink" Target="https://www.themoviedb.org/movie/248424" TargetMode="External" Id="rId380"/><Relationship Type="http://schemas.openxmlformats.org/officeDocument/2006/relationships/hyperlink" Target="https://en.wikipedia.org/wiki/List_of_highest-grossing_films_in_Vietnam" TargetMode="External" Id="rId381"/><Relationship Type="http://schemas.openxmlformats.org/officeDocument/2006/relationships/hyperlink" Target="https://www.themoviedb.org/movie/1468704" TargetMode="External" Id="rId382"/><Relationship Type="http://schemas.openxmlformats.org/officeDocument/2006/relationships/hyperlink" Target="https://filmsaroundthe.world/country/yemen/films/i-m-nojoum-age-10-and-divorced-f9b86d068ccb9a509/" TargetMode="External" Id="rId383"/><Relationship Type="http://schemas.openxmlformats.org/officeDocument/2006/relationships/hyperlink" Target="https://www.themoviedb.org/movie/341182" TargetMode="External" Id="rId384"/><Relationship Type="http://schemas.openxmlformats.org/officeDocument/2006/relationships/hyperlink" Target="https://filmsaroundthe.world/country/zambia/films/on-becoming-a-guinea-fowl-f65047675c0d22ae7/" TargetMode="External" Id="rId385"/><Relationship Type="http://schemas.openxmlformats.org/officeDocument/2006/relationships/hyperlink" Target="https://www.themoviedb.org/movie/1082938" TargetMode="External" Id="rId386"/><Relationship Type="http://schemas.openxmlformats.org/officeDocument/2006/relationships/hyperlink" Target="https://filmsaroundthe.world/country/zimbabwe/films/flame-f48907e7518b3bb59/" TargetMode="External" Id="rId387"/><Relationship Type="http://schemas.openxmlformats.org/officeDocument/2006/relationships/hyperlink" Target="https://www.themoviedb.org/movie/272183" TargetMode="External" Id="rId388"/><Relationship Type="http://schemas.openxmlformats.org/officeDocument/2006/relationships/table" Target="/xl/tables/table1.xml" Id="rId389"/></Relationships>
</file>

<file path=xl/worksheets/sheet1.xml><?xml version="1.0" encoding="utf-8"?>
<worksheet xmlns="http://schemas.openxmlformats.org/spreadsheetml/2006/main">
  <sheetPr>
    <outlinePr summaryBelow="1" summaryRight="1"/>
    <pageSetUpPr/>
  </sheetPr>
  <dimension ref="A1:S2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3" customWidth="1" min="2" max="2"/>
    <col width="8" customWidth="1" min="3" max="3"/>
    <col width="22" customWidth="1" min="4" max="4"/>
    <col width="34" customWidth="1" min="5" max="5"/>
    <col width="32" customWidth="1" min="6" max="6"/>
    <col width="7" customWidth="1" min="7" max="7"/>
    <col width="8" customWidth="1" min="8" max="8"/>
    <col width="10" customWidth="1" min="9" max="9"/>
    <col width="10" customWidth="1" min="10" max="10"/>
    <col width="34" customWidth="1" min="11" max="11"/>
    <col width="48" customWidth="1" min="12" max="12"/>
    <col width="40" customWidth="1" min="13" max="13"/>
    <col width="36" customWidth="1" min="14" max="14"/>
    <col width="28" customWidth="1" min="15" max="15"/>
    <col width="34" customWidth="1" min="16" max="16"/>
    <col width="34" customWidth="1" min="17" max="17"/>
    <col width="40" customWidth="1" min="18" max="18"/>
    <col width="60" customWidth="1" min="19" max="19"/>
  </cols>
  <sheetData>
    <row r="1">
      <c r="A1" s="1" t="inlineStr">
        <is>
          <t>Pays</t>
        </is>
      </c>
      <c r="B1" s="1" t="inlineStr">
        <is>
          <t>Continent</t>
        </is>
      </c>
      <c r="C1" s="1" t="inlineStr">
        <is>
          <t>Niveau</t>
        </is>
      </c>
      <c r="D1" s="1" t="inlineStr">
        <is>
          <t>Fiabilité</t>
        </is>
      </c>
      <c r="E1" s="1" t="inlineStr">
        <is>
          <t>Titre original</t>
        </is>
      </c>
      <c r="F1" s="1" t="inlineStr">
        <is>
          <t>Titre français</t>
        </is>
      </c>
      <c r="G1" s="1" t="inlineStr">
        <is>
          <t>Année</t>
        </is>
      </c>
      <c r="H1" s="1" t="inlineStr">
        <is>
          <t>Langue</t>
        </is>
      </c>
      <c r="I1" s="1" t="inlineStr">
        <is>
          <t>Animation</t>
        </is>
      </c>
      <c r="J1" s="1" t="inlineStr">
        <is>
          <t>Durée (min)</t>
        </is>
      </c>
      <c r="K1" s="2" t="inlineStr">
        <is>
          <t>Critère</t>
        </is>
      </c>
      <c r="L1" s="2" t="inlineStr">
        <is>
          <t>Où le voir en France</t>
        </is>
      </c>
      <c r="M1" s="2" t="inlineStr">
        <is>
          <t>Source du classement</t>
        </is>
      </c>
      <c r="N1" s="2" t="inlineStr">
        <is>
          <t>Fiche TMDB</t>
        </is>
      </c>
      <c r="O1" s="2" t="inlineStr">
        <is>
          <t>2e du classement</t>
        </is>
      </c>
      <c r="P1" s="2" t="inlineStr">
        <is>
          <t>Le plus voté sur TMDB</t>
        </is>
      </c>
      <c r="Q1" s="2" t="inlineStr">
        <is>
          <t>Choix critique (Films Around the World)</t>
        </is>
      </c>
      <c r="R1" s="2" t="inlineStr">
        <is>
          <t>Phénomène vidéo / YouTube</t>
        </is>
      </c>
      <c r="S1" s="2" t="inlineStr">
        <is>
          <t>Notes</t>
        </is>
      </c>
    </row>
    <row r="2">
      <c r="A2" s="3" t="inlineStr">
        <is>
          <t>Afghanistan</t>
        </is>
      </c>
      <c r="B2" s="3" t="inlineStr">
        <is>
          <t>Asie</t>
        </is>
      </c>
      <c r="C2" s="4" t="inlineStr">
        <is>
          <t>B</t>
        </is>
      </c>
      <c r="D2" s="3" t="inlineStr">
        <is>
          <t>moyenne</t>
        </is>
      </c>
      <c r="E2" s="3" t="inlineStr">
        <is>
          <t>Osama</t>
        </is>
      </c>
      <c r="F2" s="3" t="inlineStr">
        <is>
          <t>Osama</t>
        </is>
      </c>
      <c r="G2" s="3" t="inlineStr">
        <is>
          <t>2004</t>
        </is>
      </c>
      <c r="H2" s="3" t="inlineStr">
        <is>
          <t>fa</t>
        </is>
      </c>
      <c r="I2" s="3" t="inlineStr"/>
      <c r="J2" s="3" t="n">
        <v>80</v>
      </c>
      <c r="K2" s="5" t="inlineStr">
        <is>
          <t>popularité TMDB : 137 votes</t>
        </is>
      </c>
      <c r="L2" s="5" t="inlineStr">
        <is>
          <t>location : Sooner ; achat : Sooner</t>
        </is>
      </c>
      <c r="M2" s="6" t="inlineStr">
        <is>
          <t>https://www.themoviedb.org/movie/14757</t>
        </is>
      </c>
      <c r="N2" s="6" t="inlineStr">
        <is>
          <t>https://www.themoviedb.org/movie/14757</t>
        </is>
      </c>
      <c r="O2" s="5" t="inlineStr"/>
      <c r="P2" s="5" t="inlineStr">
        <is>
          <t>Osama (2004, 137 votes)</t>
        </is>
      </c>
      <c r="Q2" s="5" t="inlineStr">
        <is>
          <t>Osama (2004)</t>
        </is>
      </c>
      <c r="R2" s="5" t="inlineStr">
        <is>
          <t>{"title": null, "views": null, "url": null, "note": "Aucun film afghan identifié comme phénomène vidéo avec chiffre fiable."}</t>
        </is>
      </c>
      <c r="S2" s="5" t="inlineStr">
        <is>
          <t>Pas de box-office domestique. Wikipedia cite Osama (2003) comme film afghan le plus rentable (3,8 M$ worldwide, non domestique, financement étranger). / No sourced box office data.</t>
        </is>
      </c>
    </row>
    <row r="3">
      <c r="A3" s="3" t="inlineStr">
        <is>
          <t>Afrique du Sud</t>
        </is>
      </c>
      <c r="B3" s="3" t="inlineStr">
        <is>
          <t>Afrique</t>
        </is>
      </c>
      <c r="C3" s="7" t="inlineStr">
        <is>
          <t>A</t>
        </is>
      </c>
      <c r="D3" s="3" t="inlineStr">
        <is>
          <t>bonne</t>
        </is>
      </c>
      <c r="E3" s="3" t="inlineStr">
        <is>
          <t>Mr. Bones 2: Back from the Past</t>
        </is>
      </c>
      <c r="F3" s="3" t="inlineStr">
        <is>
          <t>Mr. Bones 2: Back from the Past</t>
        </is>
      </c>
      <c r="G3" s="3" t="inlineStr">
        <is>
          <t>2008</t>
        </is>
      </c>
      <c r="H3" s="3" t="inlineStr">
        <is>
          <t>en</t>
        </is>
      </c>
      <c r="I3" s="3" t="inlineStr"/>
      <c r="J3" s="3" t="n">
        <v>101</v>
      </c>
      <c r="K3" s="5" t="inlineStr">
        <is>
          <t>recettes nationales : R 70,8 millions</t>
        </is>
      </c>
      <c r="L3" s="5" t="inlineStr"/>
      <c r="M3" s="6" t="inlineStr">
        <is>
          <t>https://en.wikipedia.org/wiki/Mr_Bones_2:_Back_from_the_Past</t>
        </is>
      </c>
      <c r="N3" s="6" t="inlineStr">
        <is>
          <t>https://www.themoviedb.org/movie/30245</t>
        </is>
      </c>
      <c r="O3" s="5" t="inlineStr">
        <is>
          <t>Mr. Bones (2001) : R33 millions</t>
        </is>
      </c>
      <c r="P3" s="5" t="inlineStr">
        <is>
          <t>The Gods Must Be Crazy (1980, 1387 votes)</t>
        </is>
      </c>
      <c r="Q3" s="5" t="inlineStr">
        <is>
          <t>Mapantsula (1988)</t>
        </is>
      </c>
      <c r="R3" s="5" t="inlineStr"/>
      <c r="S3" s="5" t="inlineStr">
        <is>
          <t>Source primaire : communiqué du distributeur Videovision (« highest grossing South African film of all time »), repris par Wikipedia. Pas de chiffre d'entrées. Film en anglais/afrikaans. Aucun film plus récent confirmé au-dessus, mais non vérifié exhaustivement.</t>
        </is>
      </c>
    </row>
    <row r="4">
      <c r="A4" s="3" t="inlineStr">
        <is>
          <t>Albanie</t>
        </is>
      </c>
      <c r="B4" s="3" t="inlineStr">
        <is>
          <t>Europe</t>
        </is>
      </c>
      <c r="C4" s="8" t="inlineStr">
        <is>
          <t>D</t>
        </is>
      </c>
      <c r="D4" s="3" t="inlineStr">
        <is>
          <t>très faible (moins de 50 votes)</t>
        </is>
      </c>
      <c r="E4" s="3" t="inlineStr">
        <is>
          <t>Tomka dhe shokët e tij</t>
        </is>
      </c>
      <c r="F4" s="3" t="inlineStr">
        <is>
          <t>Tomka et ses amis</t>
        </is>
      </c>
      <c r="G4" s="3" t="inlineStr">
        <is>
          <t>1977</t>
        </is>
      </c>
      <c r="H4" s="3" t="inlineStr">
        <is>
          <t>sq</t>
        </is>
      </c>
      <c r="I4" s="3" t="inlineStr"/>
      <c r="J4" s="3" t="n">
        <v>75</v>
      </c>
      <c r="K4" s="5" t="inlineStr">
        <is>
          <t>popularité TMDB : 16 votes</t>
        </is>
      </c>
      <c r="L4" s="5" t="inlineStr"/>
      <c r="M4" s="6" t="inlineStr">
        <is>
          <t>https://www.themoviedb.org/search?query=Tomka%20dhe%20shok%C3%ABt%20e%20tij</t>
        </is>
      </c>
      <c r="N4" s="6" t="inlineStr">
        <is>
          <t>https://www.themoviedb.org/movie/263014</t>
        </is>
      </c>
      <c r="O4" s="5" t="inlineStr"/>
      <c r="P4" s="5" t="inlineStr">
        <is>
          <t>Zgjoi (2021, 90 votes)</t>
        </is>
      </c>
      <c r="Q4" s="5" t="inlineStr">
        <is>
          <t>Amsterdam Express (2014)</t>
        </is>
      </c>
      <c r="R4" s="5" t="inlineStr"/>
      <c r="S4" s="5" t="inlineStr">
        <is>
          <t>Arbitrage manuel : TMDB proposait Zgjoi (Hive), qui est un film kosovar, attribué au Kosovo. Tomka dhe shokët e tij est un classique des studios Kinostudio, 100 % albanais. Pas de donnée sourcée. / Pas de donnée sourcée.</t>
        </is>
      </c>
    </row>
    <row r="5">
      <c r="A5" s="3" t="inlineStr">
        <is>
          <t>Algérie</t>
        </is>
      </c>
      <c r="B5" s="3" t="inlineStr">
        <is>
          <t>Afrique</t>
        </is>
      </c>
      <c r="C5" s="9" t="inlineStr">
        <is>
          <t>C</t>
        </is>
      </c>
      <c r="D5" s="3" t="inlineStr">
        <is>
          <t>faible (choix éditorial, pas d'audience)</t>
        </is>
      </c>
      <c r="E5" s="3" t="inlineStr">
        <is>
          <t>La battaglia di Algeri</t>
        </is>
      </c>
      <c r="F5" s="3" t="inlineStr">
        <is>
          <t>La Bataille d'Alger</t>
        </is>
      </c>
      <c r="G5" s="3" t="inlineStr">
        <is>
          <t>1966</t>
        </is>
      </c>
      <c r="H5" s="3" t="inlineStr">
        <is>
          <t>ar</t>
        </is>
      </c>
      <c r="I5" s="3" t="inlineStr"/>
      <c r="J5" s="3" t="n">
        <v>121</v>
      </c>
      <c r="K5" s="5" t="inlineStr">
        <is>
          <t>choix « native » de Films Around the World</t>
        </is>
      </c>
      <c r="L5" s="5" t="inlineStr">
        <is>
          <t>location : Apple TV Store, Orange VOD, YouTube, Canal VOD ; achat : Apple TV Store, Orange VOD, YouTube, Canal VOD</t>
        </is>
      </c>
      <c r="M5" s="6" t="inlineStr">
        <is>
          <t>https://filmsaroundthe.world/</t>
        </is>
      </c>
      <c r="N5" s="6" t="inlineStr">
        <is>
          <t>https://www.themoviedb.org/movie/17295</t>
        </is>
      </c>
      <c r="O5" s="5" t="inlineStr"/>
      <c r="P5" s="5" t="inlineStr">
        <is>
          <t>Al-risâlah (1976, 53 votes)</t>
        </is>
      </c>
      <c r="Q5" s="5" t="inlineStr">
        <is>
          <t>The Battle of Algiers (1966)</t>
        </is>
      </c>
      <c r="R5" s="5" t="inlineStr"/>
      <c r="S5" s="5" t="inlineStr">
        <is>
          <t>Arbitrage manuel : TMDB proposait Le Message (1976), financé par la Libye. La Bataille d'Alger est une coproduction italo-algérienne (Casbah Films), tournée en arabe et en français. Pas de box-office suivi publiquement pour les films nationaux. Aucun record documenté trouvé. Pistes historiques (Hassan Terro, Chronique des années de braise) non chiffrées. / pas de box-office national suivi ou publié trouvé</t>
        </is>
      </c>
    </row>
    <row r="6">
      <c r="A6" s="3" t="inlineStr">
        <is>
          <t>Allemagne</t>
        </is>
      </c>
      <c r="B6" s="3" t="inlineStr">
        <is>
          <t>Europe</t>
        </is>
      </c>
      <c r="C6" s="7" t="inlineStr">
        <is>
          <t>A</t>
        </is>
      </c>
      <c r="D6" s="3" t="inlineStr">
        <is>
          <t>bonne (entrées estimées)</t>
        </is>
      </c>
      <c r="E6" s="3" t="inlineStr">
        <is>
          <t>Die Trapp-Familie</t>
        </is>
      </c>
      <c r="F6" s="3" t="inlineStr">
        <is>
          <t>Die Trapp-Familie</t>
        </is>
      </c>
      <c r="G6" s="3" t="inlineStr">
        <is>
          <t>1956</t>
        </is>
      </c>
      <c r="H6" s="3" t="inlineStr">
        <is>
          <t>de</t>
        </is>
      </c>
      <c r="I6" s="3" t="inlineStr"/>
      <c r="J6" s="3" t="n">
        <v>106</v>
      </c>
      <c r="K6" s="5" t="inlineStr">
        <is>
          <t>entrées : environ 26,8 M (estimation, Allemagne de l'Ouest)</t>
        </is>
      </c>
      <c r="L6" s="5" t="inlineStr"/>
      <c r="M6" s="6" t="inlineStr">
        <is>
          <t>https://www.insidekino.com/DJahr/DAlltimeDeutsch50.htm</t>
        </is>
      </c>
      <c r="N6" s="6" t="inlineStr">
        <is>
          <t>https://www.themoviedb.org/movie/83062</t>
        </is>
      </c>
      <c r="O6" s="5" t="inlineStr">
        <is>
          <t>08/15 (1954) et Der Hauptmann von Köpenick (1956), 14,6 M chacun</t>
        </is>
      </c>
      <c r="P6" s="5" t="inlineStr">
        <is>
          <t>Im Westen nichts Neues (2022, 5017 votes)</t>
        </is>
      </c>
      <c r="Q6" s="5" t="inlineStr">
        <is>
          <t>M (1931)</t>
        </is>
      </c>
      <c r="R6" s="5" t="inlineStr"/>
      <c r="S6" s="5" t="inlineStr">
        <is>
          <t>Arbitrage après vérification : même règle que la Pologne et le Royaume-Uni (records anciens acceptés). Record après 1990 : Der Schuh des Manitu (2001), 11,7 M. En RDA, Die Geschichte vom kleinen Muck (1953) a fait près de 13 M d'entrées. Ambigu selon le périmètre.</t>
        </is>
      </c>
    </row>
    <row r="7">
      <c r="A7" s="3" t="inlineStr">
        <is>
          <t>Andorre</t>
        </is>
      </c>
      <c r="B7" s="3" t="inlineStr">
        <is>
          <t>Europe</t>
        </is>
      </c>
      <c r="C7" s="8" t="inlineStr">
        <is>
          <t>D</t>
        </is>
      </c>
      <c r="D7" s="3" t="inlineStr">
        <is>
          <t>très faible (moins de 50 votes)</t>
        </is>
      </c>
      <c r="E7" s="3" t="inlineStr">
        <is>
          <t>Temporada Baixa</t>
        </is>
      </c>
      <c r="F7" s="3" t="inlineStr">
        <is>
          <t>Temporada Baixa</t>
        </is>
      </c>
      <c r="G7" s="3" t="inlineStr"/>
      <c r="H7" s="3" t="inlineStr">
        <is>
          <t>ca</t>
        </is>
      </c>
      <c r="I7" s="3" t="inlineStr"/>
      <c r="J7" s="3" t="inlineStr"/>
      <c r="K7" s="5" t="inlineStr">
        <is>
          <t>popularité TMDB : 0 votes</t>
        </is>
      </c>
      <c r="L7" s="5" t="inlineStr"/>
      <c r="M7" s="6" t="inlineStr">
        <is>
          <t>https://www.themoviedb.org/movie/1638553</t>
        </is>
      </c>
      <c r="N7" s="6" t="inlineStr">
        <is>
          <t>https://www.themoviedb.org/movie/1638553</t>
        </is>
      </c>
      <c r="O7" s="5" t="inlineStr"/>
      <c r="P7" s="5" t="inlineStr">
        <is>
          <t>Temporada Baixa (, 0 votes)</t>
        </is>
      </c>
      <c r="Q7" s="5" t="inlineStr"/>
      <c r="R7" s="5" t="inlineStr"/>
      <c r="S7" s="5" t="inlineStr">
        <is>
          <t>Pas d'industrie nationale.</t>
        </is>
      </c>
    </row>
    <row r="8">
      <c r="A8" s="3" t="inlineStr">
        <is>
          <t>Angola</t>
        </is>
      </c>
      <c r="B8" s="3" t="inlineStr">
        <is>
          <t>Afrique</t>
        </is>
      </c>
      <c r="C8" s="9" t="inlineStr">
        <is>
          <t>C</t>
        </is>
      </c>
      <c r="D8" s="3" t="inlineStr">
        <is>
          <t>faible (choix éditorial, pas d'audience)</t>
        </is>
      </c>
      <c r="E8" s="3" t="inlineStr">
        <is>
          <t>Sambizanga</t>
        </is>
      </c>
      <c r="F8" s="3" t="inlineStr">
        <is>
          <t>Sambizanga</t>
        </is>
      </c>
      <c r="G8" s="3" t="inlineStr">
        <is>
          <t>1972</t>
        </is>
      </c>
      <c r="H8" s="3" t="inlineStr">
        <is>
          <t>ln</t>
        </is>
      </c>
      <c r="I8" s="3" t="inlineStr"/>
      <c r="J8" s="3" t="n">
        <v>98</v>
      </c>
      <c r="K8" s="5" t="inlineStr">
        <is>
          <t>choix « native » de Films Around the World</t>
        </is>
      </c>
      <c r="L8" s="5" t="inlineStr">
        <is>
          <t>location : LaCinetek ; achat : LaCinetek</t>
        </is>
      </c>
      <c r="M8" s="6" t="inlineStr">
        <is>
          <t>https://filmsaroundthe.world/country/angola/films/sambizanga-f7883e975b7e724f7/</t>
        </is>
      </c>
      <c r="N8" s="6" t="inlineStr">
        <is>
          <t>https://www.themoviedb.org/movie/87392</t>
        </is>
      </c>
      <c r="O8" s="5" t="inlineStr"/>
      <c r="P8" s="5" t="inlineStr">
        <is>
          <t>Ar Condicionado (2020, 16 votes)</t>
        </is>
      </c>
      <c r="Q8" s="5" t="inlineStr">
        <is>
          <t>Sambizanga (1972)</t>
        </is>
      </c>
      <c r="R8" s="5" t="inlineStr"/>
      <c r="S8" s="5" t="inlineStr">
        <is>
          <t>pas de box-office national suivi ou publié trouvé</t>
        </is>
      </c>
    </row>
    <row r="9">
      <c r="A9" s="3" t="inlineStr">
        <is>
          <t>Antigua-et-Barbuda</t>
        </is>
      </c>
      <c r="B9" s="3" t="inlineStr">
        <is>
          <t>Amériques</t>
        </is>
      </c>
      <c r="C9" s="9" t="inlineStr">
        <is>
          <t>C</t>
        </is>
      </c>
      <c r="D9" s="3" t="inlineStr">
        <is>
          <t>faible (choix éditorial, pas d'audience)</t>
        </is>
      </c>
      <c r="E9" s="3" t="inlineStr">
        <is>
          <t>The Sweetest Mango</t>
        </is>
      </c>
      <c r="F9" s="3" t="inlineStr">
        <is>
          <t>The Sweetest Mango</t>
        </is>
      </c>
      <c r="G9" s="3" t="inlineStr">
        <is>
          <t>2001</t>
        </is>
      </c>
      <c r="H9" s="3" t="inlineStr">
        <is>
          <t>en</t>
        </is>
      </c>
      <c r="I9" s="3" t="inlineStr"/>
      <c r="J9" s="3" t="n">
        <v>101</v>
      </c>
      <c r="K9" s="5" t="inlineStr">
        <is>
          <t>choix « native » de Films Around the World</t>
        </is>
      </c>
      <c r="L9" s="5" t="inlineStr"/>
      <c r="M9" s="6" t="inlineStr">
        <is>
          <t>https://filmsaroundthe.world/country/antigua-and-barbuda/films/the-sweetest-mango-f5ae8570bb75628ed/</t>
        </is>
      </c>
      <c r="N9" s="6" t="inlineStr">
        <is>
          <t>https://www.themoviedb.org/movie/389209</t>
        </is>
      </c>
      <c r="O9" s="5" t="inlineStr"/>
      <c r="P9" s="5" t="inlineStr">
        <is>
          <t>The Skin (2011, 5 votes)</t>
        </is>
      </c>
      <c r="Q9" s="5" t="inlineStr">
        <is>
          <t>The Sweetest Mango (2001)</t>
        </is>
      </c>
      <c r="R9" s="5" t="inlineStr"/>
      <c r="S9" s="5" t="inlineStr">
        <is>
          <t>Aucune donnée sourcée trouvée dans cette passe</t>
        </is>
      </c>
    </row>
    <row r="10">
      <c r="A10" s="3" t="inlineStr">
        <is>
          <t>Arabie Saoudite</t>
        </is>
      </c>
      <c r="B10" s="3" t="inlineStr">
        <is>
          <t>Moyen-Orient</t>
        </is>
      </c>
      <c r="C10" s="7" t="inlineStr">
        <is>
          <t>A</t>
        </is>
      </c>
      <c r="D10" s="3" t="inlineStr">
        <is>
          <t>forte</t>
        </is>
      </c>
      <c r="E10" s="3" t="inlineStr">
        <is>
          <t>الكلاب السبعة (7 Dogs)</t>
        </is>
      </c>
      <c r="F10" s="3" t="inlineStr">
        <is>
          <t>7 كلاب</t>
        </is>
      </c>
      <c r="G10" s="3" t="inlineStr">
        <is>
          <t>2026</t>
        </is>
      </c>
      <c r="H10" s="3" t="inlineStr">
        <is>
          <t>ar</t>
        </is>
      </c>
      <c r="I10" s="3" t="inlineStr"/>
      <c r="J10" s="3" t="n">
        <v>123</v>
      </c>
      <c r="K10" s="5" t="inlineStr">
        <is>
          <t>entrées : 935 000+ (billets, rapport relayé sur Instagram)</t>
        </is>
      </c>
      <c r="L10" s="5" t="inlineStr"/>
      <c r="M10" s="6" t="inlineStr">
        <is>
          <t>https://www.instagram.com/p/DcOpfLdMe4R</t>
        </is>
      </c>
      <c r="N10" s="6" t="inlineStr">
        <is>
          <t>https://www.themoviedb.org/movie/1316427</t>
        </is>
      </c>
      <c r="O10" s="5" t="inlineStr">
        <is>
          <t>Sattar (2022) ~723 000 en mars 2023, jusqu'à ~1 M selon GCAM</t>
        </is>
      </c>
      <c r="P10" s="5" t="inlineStr">
        <is>
          <t>راس براس (2023, 71 votes)</t>
        </is>
      </c>
      <c r="Q10" s="5" t="inlineStr">
        <is>
          <t>Wadjda (2012)</t>
        </is>
      </c>
      <c r="R10" s="5" t="inlineStr"/>
      <c r="S10" s="5" t="inlineStr">
        <is>
          <t>AMBIGU : film saoudien (Sela Studios, financé par GEA) mais réal. belges et casting égyptien ; source principale indirecte (Instagram). Sattar (Abdullah Al Arak, koweïtien) reste candidat si la production est jugée trop étrangère.</t>
        </is>
      </c>
    </row>
    <row r="11">
      <c r="A11" s="3" t="inlineStr">
        <is>
          <t>Argentine</t>
        </is>
      </c>
      <c r="B11" s="3" t="inlineStr">
        <is>
          <t>Amériques</t>
        </is>
      </c>
      <c r="C11" s="7" t="inlineStr">
        <is>
          <t>A</t>
        </is>
      </c>
      <c r="D11" s="3" t="inlineStr">
        <is>
          <t>forte</t>
        </is>
      </c>
      <c r="E11" s="3" t="inlineStr">
        <is>
          <t>Relatos salvajes</t>
        </is>
      </c>
      <c r="F11" s="3" t="inlineStr">
        <is>
          <t>Les Nouveaux Sauvages</t>
        </is>
      </c>
      <c r="G11" s="3" t="inlineStr">
        <is>
          <t>2014</t>
        </is>
      </c>
      <c r="H11" s="3" t="inlineStr">
        <is>
          <t>es</t>
        </is>
      </c>
      <c r="I11" s="3" t="inlineStr"/>
      <c r="J11" s="3" t="n">
        <v>122</v>
      </c>
      <c r="K11" s="5" t="inlineStr">
        <is>
          <t>entrées : 3 900 000</t>
        </is>
      </c>
      <c r="L11" s="5" t="inlineStr">
        <is>
          <t>location : Apple TV Store, Orange VOD, YouTube, Rakuten TV ; achat : Apple TV Store, Orange VOD, YouTube, Rakuten TV</t>
        </is>
      </c>
      <c r="M11" s="6" t="inlineStr">
        <is>
          <t>https://es.wikipedia.org/wiki/Relatos_salvajes</t>
        </is>
      </c>
      <c r="N11" s="6" t="inlineStr">
        <is>
          <t>https://www.themoviedb.org/movie/265195</t>
        </is>
      </c>
      <c r="O11" s="5" t="inlineStr">
        <is>
          <t>non relevé</t>
        </is>
      </c>
      <c r="P11" s="5" t="inlineStr">
        <is>
          <t>Relatos salvajes (2014, 3919 votes)</t>
        </is>
      </c>
      <c r="Q11" s="5" t="inlineStr">
        <is>
          <t>The Secret in Their Eyes (2009)</t>
        </is>
      </c>
      <c r="R11" s="5" t="inlineStr"/>
      <c r="S11" s="5" t="inlineStr">
        <is>
          <t>Plus vue de l'histoire du cinéma argentin « depuis que des registres fiables existent (1997) » (source Ultracine). Coproduction avec l'Espagne, créatif principal argentin. Les films d'avant 1997 (ex. Nazareno Cruz y el lobo, 1975) sont mal documentés.</t>
        </is>
      </c>
    </row>
    <row r="12">
      <c r="A12" s="3" t="inlineStr">
        <is>
          <t>Arménie</t>
        </is>
      </c>
      <c r="B12" s="3" t="inlineStr">
        <is>
          <t>Asie</t>
        </is>
      </c>
      <c r="C12" s="9" t="inlineStr">
        <is>
          <t>C</t>
        </is>
      </c>
      <c r="D12" s="3" t="inlineStr">
        <is>
          <t>faible (choix éditorial, pas d'audience)</t>
        </is>
      </c>
      <c r="E12" s="3" t="inlineStr">
        <is>
          <t>Նռան գույնը</t>
        </is>
      </c>
      <c r="F12" s="3" t="inlineStr">
        <is>
          <t>Sayat Nova : La Couleur de la grenade</t>
        </is>
      </c>
      <c r="G12" s="3" t="inlineStr">
        <is>
          <t>1969</t>
        </is>
      </c>
      <c r="H12" s="3" t="inlineStr">
        <is>
          <t>hy</t>
        </is>
      </c>
      <c r="I12" s="3" t="inlineStr"/>
      <c r="J12" s="3" t="n">
        <v>79</v>
      </c>
      <c r="K12" s="5" t="inlineStr">
        <is>
          <t>choix « native » de Films Around the World</t>
        </is>
      </c>
      <c r="L12" s="5" t="inlineStr">
        <is>
          <t>abonnement : Molotov TV, SFR Play ; location : Sooner, Pijama Films ; achat : Sooner</t>
        </is>
      </c>
      <c r="M12" s="6" t="inlineStr">
        <is>
          <t>https://filmsaroundthe.world/country/armenia/films/the-color-of-pomegranates-fc14231a1f400d625/</t>
        </is>
      </c>
      <c r="N12" s="6" t="inlineStr">
        <is>
          <t>https://www.themoviedb.org/movie/26302</t>
        </is>
      </c>
      <c r="O12" s="5" t="inlineStr"/>
      <c r="P12" s="5" t="inlineStr">
        <is>
          <t>Սպիտակ (2018, 40 votes)</t>
        </is>
      </c>
      <c r="Q12" s="5" t="inlineStr">
        <is>
          <t>The Color of Pomegranates (1969)</t>
        </is>
      </c>
      <c r="R12" s="5" t="inlineStr"/>
      <c r="S12" s="5" t="inlineStr">
        <is>
          <t>Pas de donnée sourcée. / No all-time ranking found (Vazgen: The Last Sparapet 2025, 176,385 admissions; Full House: Landing 2026, AMD 503.5M in H1).</t>
        </is>
      </c>
    </row>
    <row r="13">
      <c r="A13" s="3" t="inlineStr">
        <is>
          <t>Australie</t>
        </is>
      </c>
      <c r="B13" s="3" t="inlineStr">
        <is>
          <t>Océanie</t>
        </is>
      </c>
      <c r="C13" s="7" t="inlineStr">
        <is>
          <t>A</t>
        </is>
      </c>
      <c r="D13" s="3" t="inlineStr">
        <is>
          <t>bonne</t>
        </is>
      </c>
      <c r="E13" s="3" t="inlineStr">
        <is>
          <t>Crocodile Dundee</t>
        </is>
      </c>
      <c r="F13" s="3" t="inlineStr">
        <is>
          <t>Crocodile Dundee</t>
        </is>
      </c>
      <c r="G13" s="3" t="inlineStr">
        <is>
          <t>1986</t>
        </is>
      </c>
      <c r="H13" s="3" t="inlineStr">
        <is>
          <t>en</t>
        </is>
      </c>
      <c r="I13" s="3" t="inlineStr"/>
      <c r="J13" s="3" t="n">
        <v>95</v>
      </c>
      <c r="K13" s="5" t="inlineStr">
        <is>
          <t>recettes nationales : A$47,707,598</t>
        </is>
      </c>
      <c r="L13" s="5" t="inlineStr"/>
      <c r="M13" s="6" t="inlineStr">
        <is>
          <t>https://www.screenaustralia.gov.au/insights-and-trends/australian-films/top-australian-films/</t>
        </is>
      </c>
      <c r="N13" s="6" t="inlineStr">
        <is>
          <t>https://www.themoviedb.org/movie/9671</t>
        </is>
      </c>
      <c r="O13" s="5" t="inlineStr">
        <is>
          <t>Australia (2008, A$37,555,757)</t>
        </is>
      </c>
      <c r="P13" s="5" t="inlineStr">
        <is>
          <t>Mad Max: Fury Road (2015, 24817 votes)</t>
        </is>
      </c>
      <c r="Q13" s="5" t="inlineStr">
        <is>
          <t>Picnic at Hanging Rock (1975)</t>
        </is>
      </c>
      <c r="R13" s="5" t="inlineStr"/>
      <c r="S13" s="5" t="inlineStr"/>
    </row>
    <row r="14">
      <c r="A14" s="3" t="inlineStr">
        <is>
          <t>Autriche</t>
        </is>
      </c>
      <c r="B14" s="3" t="inlineStr">
        <is>
          <t>Europe</t>
        </is>
      </c>
      <c r="C14" s="7" t="inlineStr">
        <is>
          <t>A</t>
        </is>
      </c>
      <c r="D14" s="3" t="inlineStr">
        <is>
          <t>forte</t>
        </is>
      </c>
      <c r="E14" s="3" t="inlineStr">
        <is>
          <t>Hinterholz 8</t>
        </is>
      </c>
      <c r="F14" s="3" t="inlineStr">
        <is>
          <t>Hinterholz 8</t>
        </is>
      </c>
      <c r="G14" s="3" t="inlineStr">
        <is>
          <t>1998</t>
        </is>
      </c>
      <c r="H14" s="3" t="inlineStr">
        <is>
          <t>de</t>
        </is>
      </c>
      <c r="I14" s="3" t="inlineStr"/>
      <c r="J14" s="3" t="n">
        <v>105</v>
      </c>
      <c r="K14" s="5" t="inlineStr">
        <is>
          <t>entrées : 617597</t>
        </is>
      </c>
      <c r="L14" s="5" t="inlineStr"/>
      <c r="M14" s="6" t="inlineStr">
        <is>
          <t>https://de.wikipedia.org/wiki/Hinterholz_8</t>
        </is>
      </c>
      <c r="N14" s="6" t="inlineStr">
        <is>
          <t>https://www.themoviedb.org/movie/38005</t>
        </is>
      </c>
      <c r="O14" s="5" t="inlineStr">
        <is>
          <t>Aufputzt is' (2025), 441823</t>
        </is>
      </c>
      <c r="P14" s="5" t="inlineStr">
        <is>
          <t>Funny Games (1997, 2209 votes)</t>
        </is>
      </c>
      <c r="Q14" s="5" t="inlineStr">
        <is>
          <t>The White Ribbon (2009)</t>
        </is>
      </c>
      <c r="R14" s="5" t="inlineStr"/>
      <c r="S14" s="5" t="inlineStr"/>
    </row>
    <row r="15">
      <c r="A15" s="3" t="inlineStr">
        <is>
          <t>Azerbaïdjan</t>
        </is>
      </c>
      <c r="B15" s="3" t="inlineStr">
        <is>
          <t>Asie</t>
        </is>
      </c>
      <c r="C15" s="7" t="inlineStr">
        <is>
          <t>A</t>
        </is>
      </c>
      <c r="D15" s="3" t="inlineStr">
        <is>
          <t>forte</t>
        </is>
      </c>
      <c r="E15" s="3" t="inlineStr">
        <is>
          <t>Tağıyev</t>
        </is>
      </c>
      <c r="F15" s="3" t="inlineStr">
        <is>
          <t>Tağıyev: Neft</t>
        </is>
      </c>
      <c r="G15" s="3" t="inlineStr">
        <is>
          <t>2024</t>
        </is>
      </c>
      <c r="H15" s="3" t="inlineStr">
        <is>
          <t>az</t>
        </is>
      </c>
      <c r="I15" s="3" t="inlineStr"/>
      <c r="J15" s="3" t="n">
        <v>104</v>
      </c>
      <c r="K15" s="5" t="inlineStr">
        <is>
          <t>entrées : &gt;200,000 viewers</t>
        </is>
      </c>
      <c r="L15" s="5" t="inlineStr"/>
      <c r="M15" s="6" t="inlineStr">
        <is>
          <t>https://www.azernews.az/culture/262003.html</t>
        </is>
      </c>
      <c r="N15" s="6" t="inlineStr">
        <is>
          <t>https://www.themoviedb.org/movie/1360595</t>
        </is>
      </c>
      <c r="O15" s="5" t="inlineStr">
        <is>
          <t>Thyme (≈150–180k tickets, per kinoyazar.az)</t>
        </is>
      </c>
      <c r="P15" s="5" t="inlineStr">
        <is>
          <t>Aporia (2019, 10 votes)</t>
        </is>
      </c>
      <c r="Q15" s="5" t="inlineStr">
        <is>
          <t>Step Mother (1958)</t>
        </is>
      </c>
      <c r="R15" s="5" t="inlineStr"/>
      <c r="S15" s="5" t="inlineStr">
        <is>
          <t>Ambiguous: tetralogy 2024–2026, figure covers the chapters combined. Also https://jnews.az/en/taghiyev-film-highest-grossing-azerbaijani-cinema-project/</t>
        </is>
      </c>
    </row>
    <row r="16">
      <c r="A16" s="3" t="inlineStr">
        <is>
          <t>Bahamas</t>
        </is>
      </c>
      <c r="B16" s="3" t="inlineStr">
        <is>
          <t>Amériques</t>
        </is>
      </c>
      <c r="C16" s="8" t="inlineStr">
        <is>
          <t>D</t>
        </is>
      </c>
      <c r="D16" s="3" t="inlineStr">
        <is>
          <t>très faible (moins de 50 votes)</t>
        </is>
      </c>
      <c r="E16" s="3" t="inlineStr">
        <is>
          <t>Children of God</t>
        </is>
      </c>
      <c r="F16" s="3" t="inlineStr">
        <is>
          <t>Children of God</t>
        </is>
      </c>
      <c r="G16" s="3" t="inlineStr">
        <is>
          <t>2011</t>
        </is>
      </c>
      <c r="H16" s="3" t="inlineStr">
        <is>
          <t>en</t>
        </is>
      </c>
      <c r="I16" s="3" t="inlineStr"/>
      <c r="J16" s="3" t="n">
        <v>104</v>
      </c>
      <c r="K16" s="5" t="inlineStr">
        <is>
          <t>popularité TMDB : 25 votes</t>
        </is>
      </c>
      <c r="L16" s="5" t="inlineStr"/>
      <c r="M16" s="6" t="inlineStr">
        <is>
          <t>https://www.themoviedb.org/movie/79926</t>
        </is>
      </c>
      <c r="N16" s="6" t="inlineStr">
        <is>
          <t>https://www.themoviedb.org/movie/79926</t>
        </is>
      </c>
      <c r="O16" s="5" t="inlineStr"/>
      <c r="P16" s="5" t="inlineStr">
        <is>
          <t>Children of God (2011, 25 votes)</t>
        </is>
      </c>
      <c r="Q16" s="5" t="inlineStr"/>
      <c r="R16" s="5" t="inlineStr"/>
      <c r="S16" s="5" t="inlineStr">
        <is>
          <t>Pas de box-office suivi. / Aucune donnée sourcée trouvée dans cette passe</t>
        </is>
      </c>
    </row>
    <row r="17">
      <c r="A17" s="3" t="inlineStr">
        <is>
          <t>Bahreïn</t>
        </is>
      </c>
      <c r="B17" s="3" t="inlineStr">
        <is>
          <t>Moyen-Orient</t>
        </is>
      </c>
      <c r="C17" s="9" t="inlineStr">
        <is>
          <t>C</t>
        </is>
      </c>
      <c r="D17" s="3" t="inlineStr">
        <is>
          <t>faible (choix éditorial, pas d'audience)</t>
        </is>
      </c>
      <c r="E17" s="3" t="inlineStr">
        <is>
          <t>الحاجز</t>
        </is>
      </c>
      <c r="F17" s="3" t="inlineStr">
        <is>
          <t>الحاجز</t>
        </is>
      </c>
      <c r="G17" s="3" t="inlineStr">
        <is>
          <t>1990</t>
        </is>
      </c>
      <c r="H17" s="3" t="inlineStr">
        <is>
          <t>ar</t>
        </is>
      </c>
      <c r="I17" s="3" t="inlineStr"/>
      <c r="J17" s="3" t="n">
        <v>97</v>
      </c>
      <c r="K17" s="5" t="inlineStr">
        <is>
          <t>choix « native » de Films Around the World</t>
        </is>
      </c>
      <c r="L17" s="5" t="inlineStr"/>
      <c r="M17" s="6" t="inlineStr">
        <is>
          <t>https://filmsaroundthe.world/country/bahrain/films/the-barrier-fb1b79d7b9ce09270/</t>
        </is>
      </c>
      <c r="N17" s="6" t="inlineStr">
        <is>
          <t>https://www.themoviedb.org/movie/275053</t>
        </is>
      </c>
      <c r="O17" s="5" t="inlineStr"/>
      <c r="P17" s="5" t="inlineStr">
        <is>
          <t>زائر (2004, 5 votes)</t>
        </is>
      </c>
      <c r="Q17" s="5" t="inlineStr">
        <is>
          <t>The Barrier (1990)</t>
        </is>
      </c>
      <c r="R17" s="5" t="inlineStr"/>
      <c r="S17" s="5" t="inlineStr">
        <is>
          <t>pas de box-office national suivi ou publié trouvé</t>
        </is>
      </c>
    </row>
    <row r="18">
      <c r="A18" s="3" t="inlineStr">
        <is>
          <t>Bangladesh</t>
        </is>
      </c>
      <c r="B18" s="3" t="inlineStr">
        <is>
          <t>Asie</t>
        </is>
      </c>
      <c r="C18" s="7" t="inlineStr">
        <is>
          <t>A</t>
        </is>
      </c>
      <c r="D18" s="3" t="inlineStr">
        <is>
          <t>bonne</t>
        </is>
      </c>
      <c r="E18" s="3" t="inlineStr">
        <is>
          <t>বর্বাদ</t>
        </is>
      </c>
      <c r="F18" s="3" t="inlineStr">
        <is>
          <t>বরবাদ</t>
        </is>
      </c>
      <c r="G18" s="3" t="inlineStr">
        <is>
          <t>2025</t>
        </is>
      </c>
      <c r="H18" s="3" t="inlineStr">
        <is>
          <t>bn</t>
        </is>
      </c>
      <c r="I18" s="3" t="inlineStr"/>
      <c r="J18" s="3" t="n">
        <v>139</v>
      </c>
      <c r="K18" s="5" t="inlineStr">
        <is>
          <t>recettes nationales : ৳75 crore (worldwide gross, not domestic)</t>
        </is>
      </c>
      <c r="L18" s="5" t="inlineStr"/>
      <c r="M18" s="6" t="inlineStr">
        <is>
          <t>https://en.wikipedia.org/wiki/List_of_highest-grossing_Bangladeshi_films</t>
        </is>
      </c>
      <c r="N18" s="6" t="inlineStr">
        <is>
          <t>https://www.themoviedb.org/movie/1374290</t>
        </is>
      </c>
      <c r="O18" s="5" t="inlineStr">
        <is>
          <t>Toofan (2024, ৳56 crore)</t>
        </is>
      </c>
      <c r="P18" s="5" t="inlineStr">
        <is>
          <t>মাসুদ রানা: ধ্বংস পাহাড় (2023, 191 votes)</t>
        </is>
      </c>
      <c r="Q18" s="5" t="inlineStr">
        <is>
          <t>Amra Ekta Cinema Banabo (2019)</t>
        </is>
      </c>
      <c r="R18" s="5" t="inlineStr"/>
      <c r="S18" s="5" t="inlineStr">
        <is>
          <t>Ambiguous: figure is worldwide, not domestic.</t>
        </is>
      </c>
    </row>
    <row r="19">
      <c r="A19" s="3" t="inlineStr">
        <is>
          <t>Barbade</t>
        </is>
      </c>
      <c r="B19" s="3" t="inlineStr">
        <is>
          <t>Amériques</t>
        </is>
      </c>
      <c r="C19" s="9" t="inlineStr">
        <is>
          <t>C</t>
        </is>
      </c>
      <c r="D19" s="3" t="inlineStr">
        <is>
          <t>faible (choix éditorial, pas d'audience)</t>
        </is>
      </c>
      <c r="E19" s="3" t="inlineStr">
        <is>
          <t>A Caribbean Dream</t>
        </is>
      </c>
      <c r="F19" s="3" t="inlineStr">
        <is>
          <t>A Caribbean Dream</t>
        </is>
      </c>
      <c r="G19" s="3" t="inlineStr">
        <is>
          <t>2017</t>
        </is>
      </c>
      <c r="H19" s="3" t="inlineStr">
        <is>
          <t>en</t>
        </is>
      </c>
      <c r="I19" s="3" t="inlineStr"/>
      <c r="J19" s="3" t="n">
        <v>82</v>
      </c>
      <c r="K19" s="5" t="inlineStr">
        <is>
          <t>choix « native » de Films Around the World</t>
        </is>
      </c>
      <c r="L19" s="5" t="inlineStr">
        <is>
          <t>location : Amazon Video ; achat : Amazon Video</t>
        </is>
      </c>
      <c r="M19" s="6" t="inlineStr">
        <is>
          <t>https://filmsaroundthe.world/country/barbados/films/a-caribbean-dream-fa5c28b5beea3790a/</t>
        </is>
      </c>
      <c r="N19" s="6" t="inlineStr">
        <is>
          <t>https://www.themoviedb.org/movie/412906</t>
        </is>
      </c>
      <c r="O19" s="5" t="inlineStr"/>
      <c r="P19" s="5" t="inlineStr">
        <is>
          <t>The Barbados Project (2022, 3 votes)</t>
        </is>
      </c>
      <c r="Q19" s="5" t="inlineStr">
        <is>
          <t>A Caribbean Dream (2017)</t>
        </is>
      </c>
      <c r="R19" s="5" t="inlineStr"/>
      <c r="S19" s="5" t="inlineStr">
        <is>
          <t>Pas de box-office suivi. / Aucune donnée sourcée trouvée dans cette passe</t>
        </is>
      </c>
    </row>
    <row r="20">
      <c r="A20" s="3" t="inlineStr">
        <is>
          <t>Belgique</t>
        </is>
      </c>
      <c r="B20" s="3" t="inlineStr">
        <is>
          <t>Europe</t>
        </is>
      </c>
      <c r="C20" s="7" t="inlineStr">
        <is>
          <t>A</t>
        </is>
      </c>
      <c r="D20" s="3" t="inlineStr">
        <is>
          <t>forte</t>
        </is>
      </c>
      <c r="E20" s="3" t="inlineStr">
        <is>
          <t>Loft</t>
        </is>
      </c>
      <c r="F20" s="3" t="inlineStr">
        <is>
          <t>Loft</t>
        </is>
      </c>
      <c r="G20" s="3" t="inlineStr">
        <is>
          <t>2008</t>
        </is>
      </c>
      <c r="H20" s="3" t="inlineStr">
        <is>
          <t>nl</t>
        </is>
      </c>
      <c r="I20" s="3" t="inlineStr"/>
      <c r="J20" s="3" t="n">
        <v>118</v>
      </c>
      <c r="K20" s="5" t="inlineStr">
        <is>
          <t>entrées : plus de 1150000</t>
        </is>
      </c>
      <c r="L20" s="5" t="inlineStr">
        <is>
          <t>abonnement : Molotov TV ; location : Orange VOD, YouTube ; achat : Orange VOD, YouTube</t>
        </is>
      </c>
      <c r="M20" s="6" t="inlineStr">
        <is>
          <t>https://cineuropa.org</t>
        </is>
      </c>
      <c r="N20" s="6" t="inlineStr">
        <is>
          <t>https://www.themoviedb.org/movie/17845</t>
        </is>
      </c>
      <c r="O20" s="5" t="inlineStr"/>
      <c r="P20" s="5" t="inlineStr">
        <is>
          <t>Jeux d'enfants (2003, 1923 votes)</t>
        </is>
      </c>
      <c r="Q20" s="5" t="inlineStr">
        <is>
          <t>Close (2022)</t>
        </is>
      </c>
      <c r="R20" s="5" t="inlineStr"/>
      <c r="S20" s="5" t="inlineStr">
        <is>
          <t>Film flamand. Source Cineuropa, URL d'article à préciser.</t>
        </is>
      </c>
    </row>
    <row r="21">
      <c r="A21" s="3" t="inlineStr">
        <is>
          <t>Belize</t>
        </is>
      </c>
      <c r="B21" s="3" t="inlineStr">
        <is>
          <t>Amériques</t>
        </is>
      </c>
      <c r="C21" s="8" t="inlineStr">
        <is>
          <t>D</t>
        </is>
      </c>
      <c r="D21" s="3" t="inlineStr">
        <is>
          <t>très faible (moins de 50 votes)</t>
        </is>
      </c>
      <c r="E21" s="3" t="inlineStr">
        <is>
          <t>Let Us Make Eve</t>
        </is>
      </c>
      <c r="F21" s="3" t="inlineStr">
        <is>
          <t>Let Us Make Eve</t>
        </is>
      </c>
      <c r="G21" s="3" t="inlineStr">
        <is>
          <t>2023</t>
        </is>
      </c>
      <c r="H21" s="3" t="inlineStr">
        <is>
          <t>en</t>
        </is>
      </c>
      <c r="I21" s="3" t="inlineStr"/>
      <c r="J21" s="3" t="n">
        <v>90</v>
      </c>
      <c r="K21" s="5" t="inlineStr">
        <is>
          <t>popularité TMDB : 4 votes</t>
        </is>
      </c>
      <c r="L21" s="5" t="inlineStr"/>
      <c r="M21" s="6" t="inlineStr">
        <is>
          <t>https://www.themoviedb.org/movie/1071807</t>
        </is>
      </c>
      <c r="N21" s="6" t="inlineStr">
        <is>
          <t>https://www.themoviedb.org/movie/1071807</t>
        </is>
      </c>
      <c r="O21" s="5" t="inlineStr"/>
      <c r="P21" s="5" t="inlineStr">
        <is>
          <t>Let Us Make Eve (2023, 4 votes)</t>
        </is>
      </c>
      <c r="Q21" s="5" t="inlineStr"/>
      <c r="R21" s="5" t="inlineStr"/>
      <c r="S21" s="5" t="inlineStr">
        <is>
          <t>Pas de box-office suivi. / Aucune donnée sourcée trouvée dans cette passe</t>
        </is>
      </c>
    </row>
    <row r="22">
      <c r="A22" s="3" t="inlineStr">
        <is>
          <t>Bénin</t>
        </is>
      </c>
      <c r="B22" s="3" t="inlineStr">
        <is>
          <t>Afrique</t>
        </is>
      </c>
      <c r="C22" s="9" t="inlineStr">
        <is>
          <t>C</t>
        </is>
      </c>
      <c r="D22" s="3" t="inlineStr">
        <is>
          <t>faible (choix éditorial, pas d'audience)</t>
        </is>
      </c>
      <c r="E22" s="3" t="inlineStr">
        <is>
          <t>Sous le signe du vaudou</t>
        </is>
      </c>
      <c r="F22" s="3" t="inlineStr">
        <is>
          <t>Sous le signe du vaudou</t>
        </is>
      </c>
      <c r="G22" s="3" t="inlineStr">
        <is>
          <t>1974</t>
        </is>
      </c>
      <c r="H22" s="3" t="inlineStr">
        <is>
          <t>fr</t>
        </is>
      </c>
      <c r="I22" s="3" t="inlineStr"/>
      <c r="J22" s="3" t="n">
        <v>95</v>
      </c>
      <c r="K22" s="5" t="inlineStr">
        <is>
          <t>choix « native » de Films Around the World</t>
        </is>
      </c>
      <c r="L22" s="5" t="inlineStr"/>
      <c r="M22" s="6" t="inlineStr">
        <is>
          <t>https://filmsaroundthe.world/country/benin/films/sous-le-signe-du-vaudou-f78f203ff591a6305/</t>
        </is>
      </c>
      <c r="N22" s="6" t="inlineStr">
        <is>
          <t>https://www.themoviedb.org/movie/471171</t>
        </is>
      </c>
      <c r="O22" s="5" t="inlineStr"/>
      <c r="P22" s="5" t="inlineStr">
        <is>
          <t>Africa paradis (2007, 12 votes)</t>
        </is>
      </c>
      <c r="Q22" s="5" t="inlineStr">
        <is>
          <t>Sous le signe du vaudou (1974)</t>
        </is>
      </c>
      <c r="R22" s="5" t="inlineStr"/>
      <c r="S22" s="5" t="inlineStr">
        <is>
          <t>pas de box-office national suivi ou publié trouvé</t>
        </is>
      </c>
    </row>
    <row r="23">
      <c r="A23" s="3" t="inlineStr">
        <is>
          <t>Bhoutan</t>
        </is>
      </c>
      <c r="B23" s="3" t="inlineStr">
        <is>
          <t>Asie</t>
        </is>
      </c>
      <c r="C23" s="4" t="inlineStr">
        <is>
          <t>B</t>
        </is>
      </c>
      <c r="D23" s="3" t="inlineStr">
        <is>
          <t>moyenne</t>
        </is>
      </c>
      <c r="E23" s="3" t="inlineStr">
        <is>
          <t>ལུང་ནག་ན</t>
        </is>
      </c>
      <c r="F23" s="3" t="inlineStr">
        <is>
          <t>L'École du bout du monde</t>
        </is>
      </c>
      <c r="G23" s="3" t="inlineStr">
        <is>
          <t>2019</t>
        </is>
      </c>
      <c r="H23" s="3" t="inlineStr">
        <is>
          <t>dz</t>
        </is>
      </c>
      <c r="I23" s="3" t="inlineStr"/>
      <c r="J23" s="3" t="n">
        <v>109</v>
      </c>
      <c r="K23" s="5" t="inlineStr">
        <is>
          <t>popularité TMDB : 238 votes</t>
        </is>
      </c>
      <c r="L23" s="5" t="inlineStr">
        <is>
          <t>location : Apple TV Store, Orange VOD, Canal VOD, Sooner ; achat : Apple TV Store, Orange VOD, Canal VOD, Sooner</t>
        </is>
      </c>
      <c r="M23" s="6" t="inlineStr">
        <is>
          <t>https://www.themoviedb.org/movie/627087</t>
        </is>
      </c>
      <c r="N23" s="6" t="inlineStr">
        <is>
          <t>https://www.themoviedb.org/movie/627087</t>
        </is>
      </c>
      <c r="O23" s="5" t="inlineStr"/>
      <c r="P23" s="5" t="inlineStr">
        <is>
          <t>ལུང་ནག་ན (2019, 238 votes)</t>
        </is>
      </c>
      <c r="Q23" s="5" t="inlineStr">
        <is>
          <t>Lunana: A Yak in the Classroom (2019)</t>
        </is>
      </c>
      <c r="R23" s="5" t="inlineStr"/>
      <c r="S23" s="5" t="inlineStr">
        <is>
          <t>Pas de classement. Tsawasum (2023) a battu le record d'ouverture local avec Nu. 1,5 M en deux séances (WordsForYou) ; The Raven Squad serait « le film bhoutanais le plus rentable » (post Facebook, non fiable). Lunana (2019) : ~2 M$ à l'international seulement. / No sourced box office data.</t>
        </is>
      </c>
    </row>
    <row r="24">
      <c r="A24" s="3" t="inlineStr">
        <is>
          <t>Biélorussie</t>
        </is>
      </c>
      <c r="B24" s="3" t="inlineStr">
        <is>
          <t>Europe</t>
        </is>
      </c>
      <c r="C24" s="4" t="inlineStr">
        <is>
          <t>B</t>
        </is>
      </c>
      <c r="D24" s="3" t="inlineStr">
        <is>
          <t>moyenne</t>
        </is>
      </c>
      <c r="E24" s="3" t="inlineStr">
        <is>
          <t>Брестская крепость</t>
        </is>
      </c>
      <c r="F24" s="3" t="inlineStr">
        <is>
          <t>Battle for Honor : La Bataille de Brest-Litovsk</t>
        </is>
      </c>
      <c r="G24" s="3" t="inlineStr">
        <is>
          <t>2010</t>
        </is>
      </c>
      <c r="H24" s="3" t="inlineStr">
        <is>
          <t>ru</t>
        </is>
      </c>
      <c r="I24" s="3" t="inlineStr"/>
      <c r="J24" s="3" t="n">
        <v>138</v>
      </c>
      <c r="K24" s="5" t="inlineStr">
        <is>
          <t>popularité TMDB : 206 votes</t>
        </is>
      </c>
      <c r="L24" s="5" t="inlineStr"/>
      <c r="M24" s="6" t="inlineStr">
        <is>
          <t>https://www.themoviedb.org/movie/50618</t>
        </is>
      </c>
      <c r="N24" s="6" t="inlineStr">
        <is>
          <t>https://www.themoviedb.org/movie/50618</t>
        </is>
      </c>
      <c r="O24" s="5" t="inlineStr"/>
      <c r="P24" s="5" t="inlineStr">
        <is>
          <t>Брестская крепость (2010, 206 votes)</t>
        </is>
      </c>
      <c r="Q24" s="5" t="inlineStr">
        <is>
          <t>Come and See (1985)</t>
        </is>
      </c>
      <c r="R24" s="5" t="inlineStr"/>
      <c r="S24" s="5" t="inlineStr">
        <is>
          <t>Pas de donnée sourcée. / Pas de donnée sourcée.</t>
        </is>
      </c>
    </row>
    <row r="25">
      <c r="A25" s="3" t="inlineStr">
        <is>
          <t>Birmanie</t>
        </is>
      </c>
      <c r="B25" s="3" t="inlineStr">
        <is>
          <t>Asie</t>
        </is>
      </c>
      <c r="C25" s="8" t="inlineStr">
        <is>
          <t>D</t>
        </is>
      </c>
      <c r="D25" s="3" t="inlineStr">
        <is>
          <t>très faible (moins de 50 votes)</t>
        </is>
      </c>
      <c r="E25" s="3" t="inlineStr">
        <is>
          <t>လိပ်ပြာစံအိမ်</t>
        </is>
      </c>
      <c r="F25" s="3" t="inlineStr">
        <is>
          <t>လိပ်ပြာစံအိမ်</t>
        </is>
      </c>
      <c r="G25" s="3" t="inlineStr">
        <is>
          <t>2019</t>
        </is>
      </c>
      <c r="H25" s="3" t="inlineStr">
        <is>
          <t>my</t>
        </is>
      </c>
      <c r="I25" s="3" t="inlineStr"/>
      <c r="J25" s="3" t="n">
        <v>115</v>
      </c>
      <c r="K25" s="5" t="inlineStr">
        <is>
          <t>popularité TMDB : 7 votes</t>
        </is>
      </c>
      <c r="L25" s="5" t="inlineStr"/>
      <c r="M25" s="6" t="inlineStr">
        <is>
          <t>https://www.themoviedb.org/movie/594417</t>
        </is>
      </c>
      <c r="N25" s="6" t="inlineStr">
        <is>
          <t>https://www.themoviedb.org/movie/594417</t>
        </is>
      </c>
      <c r="O25" s="5" t="inlineStr"/>
      <c r="P25" s="5" t="inlineStr">
        <is>
          <t>လိပ်ပြာစံအိမ် (2019, 7 votes)</t>
        </is>
      </c>
      <c r="Q25" s="5" t="inlineStr">
        <is>
          <t>Mudras Calling (2018)</t>
        </is>
      </c>
      <c r="R25" s="5" t="inlineStr"/>
      <c r="S25" s="5" t="inlineStr">
        <is>
          <t>Pas de classement historique. The Only Mom (2019, horreur) : « highest-grossing Burmese film of the year » 2019, 100 M MMK en 9 jours, 4,8 M$ worldwide (non domestique). Réalisateur thaïlandais selon Myanmar Times (Wikipedia Cinema of Myanmar), donc film national discutable. Pas de statut de record absolu. / No reliable all-time ranking found.</t>
        </is>
      </c>
    </row>
    <row r="26">
      <c r="A26" s="3" t="inlineStr">
        <is>
          <t>Bolivie</t>
        </is>
      </c>
      <c r="B26" s="3" t="inlineStr">
        <is>
          <t>Amériques</t>
        </is>
      </c>
      <c r="C26" s="4" t="inlineStr">
        <is>
          <t>B</t>
        </is>
      </c>
      <c r="D26" s="3" t="inlineStr">
        <is>
          <t>moyenne</t>
        </is>
      </c>
      <c r="E26" s="3" t="inlineStr">
        <is>
          <t>Mi socio</t>
        </is>
      </c>
      <c r="F26" s="3" t="inlineStr">
        <is>
          <t>Mi socio</t>
        </is>
      </c>
      <c r="G26" s="3" t="inlineStr">
        <is>
          <t>1982</t>
        </is>
      </c>
      <c r="H26" s="3" t="inlineStr">
        <is>
          <t>es</t>
        </is>
      </c>
      <c r="I26" s="3" t="inlineStr"/>
      <c r="J26" s="3" t="n">
        <v>83</v>
      </c>
      <c r="K26" s="5" t="inlineStr">
        <is>
          <t>popularité TMDB : 72 votes</t>
        </is>
      </c>
      <c r="L26" s="5" t="inlineStr"/>
      <c r="M26" s="6" t="inlineStr">
        <is>
          <t>https://www.themoviedb.org/movie/455502</t>
        </is>
      </c>
      <c r="N26" s="6" t="inlineStr">
        <is>
          <t>https://www.themoviedb.org/movie/455502</t>
        </is>
      </c>
      <c r="O26" s="5" t="inlineStr"/>
      <c r="P26" s="5" t="inlineStr">
        <is>
          <t>Mi socio (1982, 72 votes)</t>
        </is>
      </c>
      <c r="Q26" s="5" t="inlineStr">
        <is>
          <t>El Cementerio de los Elefantes (2009)</t>
        </is>
      </c>
      <c r="R26" s="5" t="inlineStr"/>
      <c r="S26" s="5" t="inlineStr">
        <is>
          <t>Seulement des recettes mondiales en USD (Utama 2022 $291 953 ; El Pocholo y su marida $179 294). Pas d'entrées nationales fiables. Ambigu. / Aucune donnée sourcée trouvée dans cette passe</t>
        </is>
      </c>
    </row>
    <row r="27">
      <c r="A27" s="3" t="inlineStr">
        <is>
          <t>Bosnie-Herzégovine</t>
        </is>
      </c>
      <c r="B27" s="3" t="inlineStr">
        <is>
          <t>Europe</t>
        </is>
      </c>
      <c r="C27" s="4" t="inlineStr">
        <is>
          <t>B</t>
        </is>
      </c>
      <c r="D27" s="3" t="inlineStr">
        <is>
          <t>moyenne</t>
        </is>
      </c>
      <c r="E27" s="3" t="inlineStr">
        <is>
          <t>Grbavica</t>
        </is>
      </c>
      <c r="F27" s="3" t="inlineStr">
        <is>
          <t>Sarajevo, mon amour</t>
        </is>
      </c>
      <c r="G27" s="3" t="inlineStr">
        <is>
          <t>2006</t>
        </is>
      </c>
      <c r="H27" s="3" t="inlineStr">
        <is>
          <t>bs</t>
        </is>
      </c>
      <c r="I27" s="3" t="inlineStr"/>
      <c r="J27" s="3" t="n">
        <v>90</v>
      </c>
      <c r="K27" s="5" t="inlineStr">
        <is>
          <t>popularité TMDB : 96 votes</t>
        </is>
      </c>
      <c r="L27" s="5" t="inlineStr"/>
      <c r="M27" s="6" t="inlineStr">
        <is>
          <t>https://www.themoviedb.org/movie/317</t>
        </is>
      </c>
      <c r="N27" s="6" t="inlineStr">
        <is>
          <t>https://www.themoviedb.org/movie/317</t>
        </is>
      </c>
      <c r="O27" s="5" t="inlineStr"/>
      <c r="P27" s="5" t="inlineStr">
        <is>
          <t>Grbavica (2006, 96 votes)</t>
        </is>
      </c>
      <c r="Q27" s="5" t="inlineStr">
        <is>
          <t>No Man's Land (2001)</t>
        </is>
      </c>
      <c r="R27" s="5" t="inlineStr"/>
      <c r="S27" s="5" t="inlineStr">
        <is>
          <t>Pas de liste trouvée. Le plus gros succès local 2018 est un documentaire (Scream for Me Sarajevo), exclu. / Pas de liste trouvée.</t>
        </is>
      </c>
    </row>
    <row r="28">
      <c r="A28" s="3" t="inlineStr">
        <is>
          <t>Botswana</t>
        </is>
      </c>
      <c r="B28" s="3" t="inlineStr">
        <is>
          <t>Afrique</t>
        </is>
      </c>
      <c r="C28" s="9" t="inlineStr">
        <is>
          <t>C</t>
        </is>
      </c>
      <c r="D28" s="3" t="inlineStr">
        <is>
          <t>faible (choix éditorial, pas d'audience)</t>
        </is>
      </c>
      <c r="E28" s="3" t="inlineStr">
        <is>
          <t>Ngaka</t>
        </is>
      </c>
      <c r="F28" s="3" t="inlineStr">
        <is>
          <t>Ngaka</t>
        </is>
      </c>
      <c r="G28" s="3" t="inlineStr">
        <is>
          <t>1976</t>
        </is>
      </c>
      <c r="H28" s="3" t="inlineStr">
        <is>
          <t>zu</t>
        </is>
      </c>
      <c r="I28" s="3" t="inlineStr"/>
      <c r="J28" s="3" t="n">
        <v>84</v>
      </c>
      <c r="K28" s="5" t="inlineStr">
        <is>
          <t>choix « native » de Films Around the World</t>
        </is>
      </c>
      <c r="L28" s="5" t="inlineStr"/>
      <c r="M28" s="6" t="inlineStr">
        <is>
          <t>https://filmsaroundthe.world/country/botswana/films/ngaka-fcea1e639040f8bb5/</t>
        </is>
      </c>
      <c r="N28" s="6" t="inlineStr">
        <is>
          <t>https://www.themoviedb.org/movie/1186418</t>
        </is>
      </c>
      <c r="O28" s="5" t="inlineStr"/>
      <c r="P28" s="5" t="inlineStr">
        <is>
          <t>Jewel in the Sand (2020, 1 votes)</t>
        </is>
      </c>
      <c r="Q28" s="5" t="inlineStr">
        <is>
          <t>Ngaka (1976)</t>
        </is>
      </c>
      <c r="R28" s="5" t="inlineStr"/>
      <c r="S28" s="5" t="inlineStr">
        <is>
          <t>pas de box-office national suivi ou publié trouvé</t>
        </is>
      </c>
    </row>
    <row r="29">
      <c r="A29" s="3" t="inlineStr">
        <is>
          <t>Brésil</t>
        </is>
      </c>
      <c r="B29" s="3" t="inlineStr">
        <is>
          <t>Amériques</t>
        </is>
      </c>
      <c r="C29" s="7" t="inlineStr">
        <is>
          <t>A</t>
        </is>
      </c>
      <c r="D29" s="3" t="inlineStr">
        <is>
          <t>forte</t>
        </is>
      </c>
      <c r="E29" s="3" t="inlineStr">
        <is>
          <t>Tropa de Elite 2: O Inimigo Agora É Outro</t>
        </is>
      </c>
      <c r="F29" s="3" t="inlineStr">
        <is>
          <t>Troupe d'Élite - L'Ennemi intérieur</t>
        </is>
      </c>
      <c r="G29" s="3" t="inlineStr">
        <is>
          <t>2010</t>
        </is>
      </c>
      <c r="H29" s="3" t="inlineStr">
        <is>
          <t>pt</t>
        </is>
      </c>
      <c r="I29" s="3" t="inlineStr"/>
      <c r="J29" s="3" t="n">
        <v>115</v>
      </c>
      <c r="K29" s="5" t="inlineStr">
        <is>
          <t>entrées : 11 146 723</t>
        </is>
      </c>
      <c r="L29" s="5" t="inlineStr">
        <is>
          <t>location : Apple TV Store, Canal VOD, Sooner, Amazon Video ; achat : Apple TV Store, YouTube, Canal VOD, Sooner</t>
        </is>
      </c>
      <c r="M29" s="6" t="inlineStr">
        <is>
          <t>https://pt.wikipedia.org/wiki/Lista_de_filmes_brasileiros_com_mais_de_um_milh%C3%A3o_de_espectadores</t>
        </is>
      </c>
      <c r="N29" s="6" t="inlineStr">
        <is>
          <t>https://www.themoviedb.org/movie/47931</t>
        </is>
      </c>
      <c r="O29" s="5" t="inlineStr">
        <is>
          <t>Minha Mãe É uma Peça 3 (2019), 10 979 552</t>
        </is>
      </c>
      <c r="P29" s="5" t="inlineStr">
        <is>
          <t>Cidade de Deus (2002, 8551 votes)</t>
        </is>
      </c>
      <c r="Q29" s="5" t="inlineStr">
        <is>
          <t>City of God (2002)</t>
        </is>
      </c>
      <c r="R29" s="5" t="inlineStr"/>
      <c r="S29" s="5" t="inlineStr">
        <is>
          <t>Arbitrage : Nada a Perder (12,2 M) et Os Dez Mandamentos (11,3 M) sont devant, mais leurs entrées sont gonflées par des billets achetés en bloc par l'Église universelle. Écartés. AMBIGU. La liste place Nada a Perder (2018, 12 184 373) et Os Dez Mandamentos (2016, 11 305 479) devant, avec une note de l'article : leurs chiffres sont gonflés par des achats de billets en bloc (Igreja Universal) et des salles vides signalées par la presse. Tropa de Elite 2 est le premier succès de public non contesté. À arbitrer.</t>
        </is>
      </c>
    </row>
    <row r="30">
      <c r="A30" s="3" t="inlineStr">
        <is>
          <t>Brunei</t>
        </is>
      </c>
      <c r="B30" s="3" t="inlineStr">
        <is>
          <t>Asie</t>
        </is>
      </c>
      <c r="C30" s="9" t="inlineStr">
        <is>
          <t>C</t>
        </is>
      </c>
      <c r="D30" s="3" t="inlineStr">
        <is>
          <t>faible (choix éditorial, pas d'audience)</t>
        </is>
      </c>
      <c r="E30" s="3" t="inlineStr">
        <is>
          <t>Yasmine</t>
        </is>
      </c>
      <c r="F30" s="3" t="inlineStr">
        <is>
          <t>Yasmine</t>
        </is>
      </c>
      <c r="G30" s="3" t="inlineStr">
        <is>
          <t>2014</t>
        </is>
      </c>
      <c r="H30" s="3" t="inlineStr">
        <is>
          <t>ms</t>
        </is>
      </c>
      <c r="I30" s="3" t="inlineStr"/>
      <c r="J30" s="3" t="n">
        <v>109</v>
      </c>
      <c r="K30" s="5" t="inlineStr">
        <is>
          <t>choix « native » de Films Around the World</t>
        </is>
      </c>
      <c r="L30" s="5" t="inlineStr"/>
      <c r="M30" s="6" t="inlineStr">
        <is>
          <t>https://filmsaroundthe.world/country/brunei/films/yasmine-f17b4d68cefb3bb3d/</t>
        </is>
      </c>
      <c r="N30" s="6" t="inlineStr">
        <is>
          <t>https://www.themoviedb.org/movie/277690</t>
        </is>
      </c>
      <c r="O30" s="5" t="inlineStr"/>
      <c r="P30" s="5" t="inlineStr">
        <is>
          <t>Yasmine (2014, 8 votes)</t>
        </is>
      </c>
      <c r="Q30" s="5" t="inlineStr">
        <is>
          <t>Yasmine (2014)</t>
        </is>
      </c>
      <c r="R30" s="5" t="inlineStr"/>
      <c r="S30" s="5" t="inlineStr">
        <is>
          <t>No sourced box office data.</t>
        </is>
      </c>
    </row>
    <row r="31">
      <c r="A31" s="3" t="inlineStr">
        <is>
          <t>Bulgarie</t>
        </is>
      </c>
      <c r="B31" s="3" t="inlineStr">
        <is>
          <t>Europe</t>
        </is>
      </c>
      <c r="C31" s="7" t="inlineStr">
        <is>
          <t>A</t>
        </is>
      </c>
      <c r="D31" s="3" t="inlineStr">
        <is>
          <t>forte</t>
        </is>
      </c>
      <c r="E31" s="3" t="inlineStr">
        <is>
          <t>Гунди – легенда за любовта</t>
        </is>
      </c>
      <c r="F31" s="3" t="inlineStr">
        <is>
          <t>Гунди - Легенда за любовта</t>
        </is>
      </c>
      <c r="G31" s="3" t="inlineStr">
        <is>
          <t>2024</t>
        </is>
      </c>
      <c r="H31" s="3" t="inlineStr">
        <is>
          <t>bg</t>
        </is>
      </c>
      <c r="I31" s="3" t="inlineStr"/>
      <c r="J31" s="3" t="n">
        <v>159</v>
      </c>
      <c r="K31" s="5" t="inlineStr">
        <is>
          <t>entrées : 397225</t>
        </is>
      </c>
      <c r="L31" s="5" t="inlineStr"/>
      <c r="M31" s="6" t="inlineStr">
        <is>
          <t>https://www.segabg.com</t>
        </is>
      </c>
      <c r="N31" s="6" t="inlineStr">
        <is>
          <t>https://www.themoviedb.org/movie/1300045</t>
        </is>
      </c>
      <c r="O31" s="5" t="inlineStr"/>
      <c r="P31" s="5" t="inlineStr">
        <is>
          <t>Slava (2017, 68 votes)</t>
        </is>
      </c>
      <c r="Q31" s="5" t="inlineStr">
        <is>
          <t>Canary Season (1993)</t>
        </is>
      </c>
      <c r="R31" s="5" t="inlineStr"/>
      <c r="S31" s="5" t="inlineStr">
        <is>
          <t>Après 1989 seulement. Des films d'avant 1989 ont pu faire plus.</t>
        </is>
      </c>
    </row>
    <row r="32">
      <c r="A32" s="3" t="inlineStr">
        <is>
          <t>Burkina Faso</t>
        </is>
      </c>
      <c r="B32" s="3" t="inlineStr">
        <is>
          <t>Afrique</t>
        </is>
      </c>
      <c r="C32" s="9" t="inlineStr">
        <is>
          <t>C</t>
        </is>
      </c>
      <c r="D32" s="3" t="inlineStr">
        <is>
          <t>faible (choix éditorial, pas d'audience)</t>
        </is>
      </c>
      <c r="E32" s="3" t="inlineStr">
        <is>
          <t>Wênd Kûuni</t>
        </is>
      </c>
      <c r="F32" s="3" t="inlineStr">
        <is>
          <t>Wend Kuuni, le don de Dieu</t>
        </is>
      </c>
      <c r="G32" s="3" t="inlineStr">
        <is>
          <t>1982</t>
        </is>
      </c>
      <c r="H32" s="3" t="inlineStr">
        <is>
          <t>ff</t>
        </is>
      </c>
      <c r="I32" s="3" t="inlineStr"/>
      <c r="J32" s="3" t="n">
        <v>75</v>
      </c>
      <c r="K32" s="5" t="inlineStr">
        <is>
          <t>choix « native » de Films Around the World</t>
        </is>
      </c>
      <c r="L32" s="5" t="inlineStr"/>
      <c r="M32" s="6" t="inlineStr">
        <is>
          <t>https://filmsaroundthe.world/country/burkina-faso/films/wend-kuuni-f7b306511670049bb/</t>
        </is>
      </c>
      <c r="N32" s="6" t="inlineStr">
        <is>
          <t>https://www.themoviedb.org/movie/181083</t>
        </is>
      </c>
      <c r="O32" s="5" t="inlineStr"/>
      <c r="P32" s="5" t="inlineStr">
        <is>
          <t>Sira (2023, 12 votes)</t>
        </is>
      </c>
      <c r="Q32" s="5" t="inlineStr">
        <is>
          <t>Wend Kuuni (1982)</t>
        </is>
      </c>
      <c r="R32" s="5" t="inlineStr"/>
      <c r="S32" s="5" t="inlineStr">
        <is>
          <t>Pas de box-office suivi. Boubakar Diallo cite 40 000 entrées pour l'un de ses films (titre non confirmé). Aucun record documenté. / pas de box-office national suivi ou publié trouvé</t>
        </is>
      </c>
    </row>
    <row r="33">
      <c r="A33" s="3" t="inlineStr">
        <is>
          <t>Burundi</t>
        </is>
      </c>
      <c r="B33" s="3" t="inlineStr">
        <is>
          <t>Afrique</t>
        </is>
      </c>
      <c r="C33" s="9" t="inlineStr">
        <is>
          <t>C</t>
        </is>
      </c>
      <c r="D33" s="3" t="inlineStr">
        <is>
          <t>faible (choix éditorial, pas d'audience)</t>
        </is>
      </c>
      <c r="E33" s="3" t="inlineStr">
        <is>
          <t>Gito, l'ingrat</t>
        </is>
      </c>
      <c r="F33" s="3" t="inlineStr">
        <is>
          <t>Gito, l'ingrat</t>
        </is>
      </c>
      <c r="G33" s="3" t="inlineStr">
        <is>
          <t>1992</t>
        </is>
      </c>
      <c r="H33" s="3" t="inlineStr">
        <is>
          <t>fr</t>
        </is>
      </c>
      <c r="I33" s="3" t="inlineStr"/>
      <c r="J33" s="3" t="n">
        <v>93</v>
      </c>
      <c r="K33" s="5" t="inlineStr">
        <is>
          <t>choix « native » de Films Around the World</t>
        </is>
      </c>
      <c r="L33" s="5" t="inlineStr"/>
      <c r="M33" s="6" t="inlineStr">
        <is>
          <t>https://filmsaroundthe.world/country/burundi/films/gito-l-ingrat-f51b7b6751e068d3e/</t>
        </is>
      </c>
      <c r="N33" s="6" t="inlineStr">
        <is>
          <t>https://www.themoviedb.org/movie/272032</t>
        </is>
      </c>
      <c r="O33" s="5" t="inlineStr"/>
      <c r="P33" s="5" t="inlineStr">
        <is>
          <t>Gito, l'ingrat (1992, 6 votes)</t>
        </is>
      </c>
      <c r="Q33" s="5" t="inlineStr">
        <is>
          <t>Gito l'ingrat (1992)</t>
        </is>
      </c>
      <c r="R33" s="5" t="inlineStr"/>
      <c r="S33" s="5" t="inlineStr">
        <is>
          <t>pas de box-office national suivi ou publié trouvé</t>
        </is>
      </c>
    </row>
    <row r="34">
      <c r="A34" s="3" t="inlineStr">
        <is>
          <t>Cambodge</t>
        </is>
      </c>
      <c r="B34" s="3" t="inlineStr">
        <is>
          <t>Asie</t>
        </is>
      </c>
      <c r="C34" s="7" t="inlineStr">
        <is>
          <t>A</t>
        </is>
      </c>
      <c r="D34" s="3" t="inlineStr">
        <is>
          <t>bonne</t>
        </is>
      </c>
      <c r="E34" s="3" t="inlineStr">
        <is>
          <t>បណ្ដាសានាងរាត្រី</t>
        </is>
      </c>
      <c r="F34" s="3" t="inlineStr">
        <is>
          <t>បណ្ដាសានាងរាត្រី</t>
        </is>
      </c>
      <c r="G34" s="3" t="inlineStr">
        <is>
          <t>2024</t>
        </is>
      </c>
      <c r="H34" s="3" t="inlineStr">
        <is>
          <t>km</t>
        </is>
      </c>
      <c r="I34" s="3" t="inlineStr"/>
      <c r="J34" s="3" t="n">
        <v>95</v>
      </c>
      <c r="K34" s="5" t="inlineStr">
        <is>
          <t>recettes nationales : $8.6M (Khmer Wikipedia); English Wikipedia says $2M</t>
        </is>
      </c>
      <c r="L34" s="5" t="inlineStr"/>
      <c r="M34" s="6" t="inlineStr">
        <is>
          <t>https://km.wikipedia.org/wiki/Cambodia_Box_Office</t>
        </is>
      </c>
      <c r="N34" s="6" t="inlineStr">
        <is>
          <t>https://www.themoviedb.org/movie/1246014</t>
        </is>
      </c>
      <c r="O34" s="5" t="inlineStr">
        <is>
          <t>A Gong (2024, $5.1M)</t>
        </is>
      </c>
      <c r="P34" s="5" t="inlineStr">
        <is>
          <t>Jailbreak (2017, 69 votes)</t>
        </is>
      </c>
      <c r="Q34" s="5" t="inlineStr">
        <is>
          <t>First They Killed My Father (2017)</t>
        </is>
      </c>
      <c r="R34" s="5" t="inlineStr"/>
      <c r="S34" s="5" t="inlineStr">
        <is>
          <t>Ambiguous: sources conflict and are weak; Cambodia-Myanmar co-production.</t>
        </is>
      </c>
    </row>
    <row r="35">
      <c r="A35" s="3" t="inlineStr">
        <is>
          <t>Cameroun</t>
        </is>
      </c>
      <c r="B35" s="3" t="inlineStr">
        <is>
          <t>Afrique</t>
        </is>
      </c>
      <c r="C35" s="7" t="inlineStr">
        <is>
          <t>A</t>
        </is>
      </c>
      <c r="D35" s="3" t="inlineStr">
        <is>
          <t>forte</t>
        </is>
      </c>
      <c r="E35" s="3" t="inlineStr">
        <is>
          <t>Paris à tout prix</t>
        </is>
      </c>
      <c r="F35" s="3" t="inlineStr"/>
      <c r="G35" s="3" t="inlineStr">
        <is>
          <t>2008</t>
        </is>
      </c>
      <c r="H35" s="3" t="inlineStr">
        <is>
          <t>fr</t>
        </is>
      </c>
      <c r="I35" s="3" t="inlineStr"/>
      <c r="J35" s="3" t="inlineStr"/>
      <c r="K35" s="5" t="inlineStr">
        <is>
          <t>entrées : 70 000</t>
        </is>
      </c>
      <c r="L35" s="5" t="inlineStr"/>
      <c r="M35" s="6" t="inlineStr">
        <is>
          <t>https://letudiantafricain.com/blog-letudiant-africain/le-cin%C3%A9ma-camerounais-arr%C3%AAt-sur-image</t>
        </is>
      </c>
      <c r="N35" s="5" t="inlineStr"/>
      <c r="O35" s="5" t="inlineStr"/>
      <c r="P35" s="5" t="inlineStr">
        <is>
          <t>The Fisherman's Diary (2020, 22 votes)</t>
        </is>
      </c>
      <c r="Q35" s="5" t="inlineStr">
        <is>
          <t>Muna Moto (1975)</t>
        </is>
      </c>
      <c r="R35" s="5" t="inlineStr"/>
      <c r="S35" s="5" t="inlineStr">
        <is>
          <t>Africiné : Joséphine Ndagnou « détient le record des entrées » (25 000 en deux semaines) ; 70 000 d'après Coulon 2011 cité par L'Étudiant africain. https://www.africine.org/analyse/cinema-camerounais-la-re-montee-des-marches/7500. Le pays n'a plus que 3 salles ; Pousse-Pousse (1975) aurait dépassé 1 M d'entrées en Afrique francophone (non spécifique au Cameroun), donc record surtout de l'ère récente.</t>
        </is>
      </c>
    </row>
    <row r="36">
      <c r="A36" s="3" t="inlineStr">
        <is>
          <t>Canada</t>
        </is>
      </c>
      <c r="B36" s="3" t="inlineStr">
        <is>
          <t>Amériques</t>
        </is>
      </c>
      <c r="C36" s="7" t="inlineStr">
        <is>
          <t>A</t>
        </is>
      </c>
      <c r="D36" s="3" t="inlineStr">
        <is>
          <t>bonne</t>
        </is>
      </c>
      <c r="E36" s="3" t="inlineStr">
        <is>
          <t>Bon Cop, Bad Cop</t>
        </is>
      </c>
      <c r="F36" s="3" t="inlineStr">
        <is>
          <t>Bon Cop Bad Cop</t>
        </is>
      </c>
      <c r="G36" s="3" t="inlineStr">
        <is>
          <t>2006</t>
        </is>
      </c>
      <c r="H36" s="3" t="inlineStr">
        <is>
          <t>fr/en</t>
        </is>
      </c>
      <c r="I36" s="3" t="inlineStr"/>
      <c r="J36" s="3" t="n">
        <v>116</v>
      </c>
      <c r="K36" s="5" t="inlineStr">
        <is>
          <t>recettes nationales : CA$ 12,2 millions</t>
        </is>
      </c>
      <c r="L36" s="5" t="inlineStr"/>
      <c r="M36" s="6" t="inlineStr">
        <is>
          <t>https://en.wikipedia.org/wiki/Cinema_of_Canada</t>
        </is>
      </c>
      <c r="N36" s="6" t="inlineStr">
        <is>
          <t>https://www.themoviedb.org/movie/15049</t>
        </is>
      </c>
      <c r="O36" s="5" t="inlineStr">
        <is>
          <t>Porky's (1982), 11,2 M$ (film canado-américain en anglais)</t>
        </is>
      </c>
      <c r="P36" s="5" t="inlineStr">
        <is>
          <t>Enemy (2014, 6660 votes)</t>
        </is>
      </c>
      <c r="Q36" s="5" t="inlineStr">
        <is>
          <t>Cube (1997)</t>
        </is>
      </c>
      <c r="R36" s="5" t="inlineStr"/>
      <c r="S36" s="5" t="inlineStr">
        <is>
          <t>Film bilingue, classé en recettes (aucun chiffre d'entrées). Record québécois francophone : De père en flic (2009), à égalité ou presque. Film bilingue anglais/français. Record québécois francophone : De père en flic (2009), qui a égalé Bon Cop, Bad Cop selon Wikipedia (Cinema of Quebec, https://en.wikipedia.org/wiki/Cinema_of_Quebec). Chiffre exact de De père en flic non relevé. Aucun chiffre d'entrées trouvé, donc recettes.</t>
        </is>
      </c>
    </row>
    <row r="37">
      <c r="A37" s="3" t="inlineStr">
        <is>
          <t>Chili</t>
        </is>
      </c>
      <c r="B37" s="3" t="inlineStr">
        <is>
          <t>Amériques</t>
        </is>
      </c>
      <c r="C37" s="7" t="inlineStr">
        <is>
          <t>A</t>
        </is>
      </c>
      <c r="D37" s="3" t="inlineStr">
        <is>
          <t>forte</t>
        </is>
      </c>
      <c r="E37" s="3" t="inlineStr">
        <is>
          <t>Stefan v/s Kramer</t>
        </is>
      </c>
      <c r="F37" s="3" t="inlineStr">
        <is>
          <t>Stefan v/s Kramer</t>
        </is>
      </c>
      <c r="G37" s="3" t="inlineStr">
        <is>
          <t>2012</t>
        </is>
      </c>
      <c r="H37" s="3" t="inlineStr">
        <is>
          <t>es</t>
        </is>
      </c>
      <c r="I37" s="3" t="inlineStr"/>
      <c r="J37" s="3" t="n">
        <v>90</v>
      </c>
      <c r="K37" s="5" t="inlineStr">
        <is>
          <t>entrées : 2 070 465</t>
        </is>
      </c>
      <c r="L37" s="5" t="inlineStr"/>
      <c r="M37" s="6" t="inlineStr">
        <is>
          <t>https://es.wikipedia.org/wiki/Cine_de_Chile</t>
        </is>
      </c>
      <c r="N37" s="6" t="inlineStr">
        <is>
          <t>https://www.themoviedb.org/movie/132706</t>
        </is>
      </c>
      <c r="O37" s="5" t="inlineStr">
        <is>
          <t>Sin filtro (2016), 1 047 000</t>
        </is>
      </c>
      <c r="P37" s="5" t="inlineStr">
        <is>
          <t>Una mujer fantástica (2017, 761 votes)</t>
        </is>
      </c>
      <c r="Q37" s="5" t="inlineStr">
        <is>
          <t>Machuca (2004)</t>
        </is>
      </c>
      <c r="R37" s="5" t="inlineStr"/>
      <c r="S37" s="5" t="inlineStr">
        <is>
          <t>Présenté comme le film le plus vu de tous les temps au Chili, tous pays confondus (source El Observatodo, 2012).</t>
        </is>
      </c>
    </row>
    <row r="38">
      <c r="A38" s="3" t="inlineStr">
        <is>
          <t>Chine</t>
        </is>
      </c>
      <c r="B38" s="3" t="inlineStr">
        <is>
          <t>Asie</t>
        </is>
      </c>
      <c r="C38" s="7" t="inlineStr">
        <is>
          <t>A</t>
        </is>
      </c>
      <c r="D38" s="3" t="inlineStr">
        <is>
          <t>bonne</t>
        </is>
      </c>
      <c r="E38" s="3" t="inlineStr">
        <is>
          <t>哪吒之魔童闹海</t>
        </is>
      </c>
      <c r="F38" s="3" t="inlineStr">
        <is>
          <t>Ne Zha 2</t>
        </is>
      </c>
      <c r="G38" s="3" t="inlineStr">
        <is>
          <t>2025</t>
        </is>
      </c>
      <c r="H38" s="3" t="inlineStr">
        <is>
          <t>zh</t>
        </is>
      </c>
      <c r="I38" s="3" t="inlineStr">
        <is>
          <t>oui</t>
        </is>
      </c>
      <c r="J38" s="3" t="n">
        <v>144</v>
      </c>
      <c r="K38" s="5" t="inlineStr">
        <is>
          <t>recettes nationales : CN¥15,462,580,000</t>
        </is>
      </c>
      <c r="L38" s="5" t="inlineStr"/>
      <c r="M38" s="6" t="inlineStr">
        <is>
          <t>https://en.wikipedia.org/wiki/List_of_highest-grossing_films_in_China</t>
        </is>
      </c>
      <c r="N38" s="6" t="inlineStr">
        <is>
          <t>https://www.themoviedb.org/movie/980477</t>
        </is>
      </c>
      <c r="O38" s="5" t="inlineStr">
        <is>
          <t>The Battle at Lake Changjin (2021, CN¥5.776bn)</t>
        </is>
      </c>
      <c r="P38" s="5" t="inlineStr">
        <is>
          <t>葉問 (2008, 4296 votes)</t>
        </is>
      </c>
      <c r="Q38" s="5" t="inlineStr">
        <is>
          <t>Spring in a Small Town (1948)</t>
        </is>
      </c>
      <c r="R38" s="5" t="inlineStr"/>
      <c r="S38" s="5" t="inlineStr">
        <is>
          <t>Mainland China only.</t>
        </is>
      </c>
    </row>
    <row r="39">
      <c r="A39" s="3" t="inlineStr">
        <is>
          <t>Chypre</t>
        </is>
      </c>
      <c r="B39" s="3" t="inlineStr">
        <is>
          <t>Moyen-Orient</t>
        </is>
      </c>
      <c r="C39" s="4" t="inlineStr">
        <is>
          <t>B</t>
        </is>
      </c>
      <c r="D39" s="3" t="inlineStr">
        <is>
          <t>moyenne</t>
        </is>
      </c>
      <c r="E39" s="3" t="inlineStr">
        <is>
          <t>Αναζητώντας Τον Χέντριξ</t>
        </is>
      </c>
      <c r="F39" s="3" t="inlineStr">
        <is>
          <t>Where Is Jimi Hendrix ?</t>
        </is>
      </c>
      <c r="G39" s="3" t="inlineStr">
        <is>
          <t>2019</t>
        </is>
      </c>
      <c r="H39" s="3" t="inlineStr">
        <is>
          <t>el</t>
        </is>
      </c>
      <c r="I39" s="3" t="inlineStr"/>
      <c r="J39" s="3" t="n">
        <v>93</v>
      </c>
      <c r="K39" s="5" t="inlineStr">
        <is>
          <t>popularité TMDB : 56 votes</t>
        </is>
      </c>
      <c r="L39" s="5" t="inlineStr">
        <is>
          <t>location : Orange VOD, Canal VOD, Sooner, ARTE VOD ; achat : Orange VOD, Canal VOD, Sooner, ARTE VOD</t>
        </is>
      </c>
      <c r="M39" s="6" t="inlineStr">
        <is>
          <t>https://www.themoviedb.org/movie/512092</t>
        </is>
      </c>
      <c r="N39" s="6" t="inlineStr">
        <is>
          <t>https://www.themoviedb.org/movie/512092</t>
        </is>
      </c>
      <c r="O39" s="5" t="inlineStr"/>
      <c r="P39" s="5" t="inlineStr">
        <is>
          <t>Αναζητώντας Τον Χέντριξ (2019, 56 votes)</t>
        </is>
      </c>
      <c r="Q39" s="5" t="inlineStr">
        <is>
          <t>Knifer (2010)</t>
        </is>
      </c>
      <c r="R39" s="5" t="inlineStr"/>
      <c r="S39" s="5" t="inlineStr">
        <is>
          <t>Pas de donnée sourcée. / Pas de donnée sourcée.</t>
        </is>
      </c>
    </row>
    <row r="40">
      <c r="A40" s="3" t="inlineStr">
        <is>
          <t>Cité du Vatican</t>
        </is>
      </c>
      <c r="B40" s="3" t="inlineStr">
        <is>
          <t>Europe</t>
        </is>
      </c>
      <c r="C40" s="8" t="inlineStr">
        <is>
          <t>D</t>
        </is>
      </c>
      <c r="D40" s="3" t="inlineStr">
        <is>
          <t>très faible (moins de 50 votes)</t>
        </is>
      </c>
      <c r="E40" s="3" t="inlineStr">
        <is>
          <t>Todos, todos, todos!</t>
        </is>
      </c>
      <c r="F40" s="3" t="inlineStr">
        <is>
          <t>Todos, todos, todos!</t>
        </is>
      </c>
      <c r="G40" s="3" t="inlineStr">
        <is>
          <t>2026</t>
        </is>
      </c>
      <c r="H40" s="3" t="inlineStr">
        <is>
          <t>it</t>
        </is>
      </c>
      <c r="I40" s="3" t="inlineStr"/>
      <c r="J40" s="3" t="n">
        <v>27</v>
      </c>
      <c r="K40" s="5" t="inlineStr">
        <is>
          <t>popularité TMDB : 0 votes</t>
        </is>
      </c>
      <c r="L40" s="5" t="inlineStr"/>
      <c r="M40" s="6" t="inlineStr">
        <is>
          <t>https://www.themoviedb.org/movie/1704694</t>
        </is>
      </c>
      <c r="N40" s="6" t="inlineStr">
        <is>
          <t>https://www.themoviedb.org/movie/1704694</t>
        </is>
      </c>
      <c r="O40" s="5" t="inlineStr"/>
      <c r="P40" s="5" t="inlineStr">
        <is>
          <t>Todos, todos, todos! (2026, 0 votes)</t>
        </is>
      </c>
      <c r="Q40" s="5" t="inlineStr"/>
      <c r="R40" s="5" t="inlineStr"/>
      <c r="S40" s="5" t="inlineStr">
        <is>
          <t>Pas d'industrie nationale.</t>
        </is>
      </c>
    </row>
    <row r="41">
      <c r="A41" s="3" t="inlineStr">
        <is>
          <t>Colombie</t>
        </is>
      </c>
      <c r="B41" s="3" t="inlineStr">
        <is>
          <t>Amériques</t>
        </is>
      </c>
      <c r="C41" s="7" t="inlineStr">
        <is>
          <t>A</t>
        </is>
      </c>
      <c r="D41" s="3" t="inlineStr">
        <is>
          <t>forte</t>
        </is>
      </c>
      <c r="E41" s="3" t="inlineStr">
        <is>
          <t>El paseo 4</t>
        </is>
      </c>
      <c r="F41" s="3" t="inlineStr">
        <is>
          <t>El paseo 4</t>
        </is>
      </c>
      <c r="G41" s="3" t="inlineStr">
        <is>
          <t>2016</t>
        </is>
      </c>
      <c r="H41" s="3" t="inlineStr">
        <is>
          <t>es</t>
        </is>
      </c>
      <c r="I41" s="3" t="inlineStr"/>
      <c r="J41" s="3" t="n">
        <v>95</v>
      </c>
      <c r="K41" s="5" t="inlineStr">
        <is>
          <t>entrées : 1 652 722</t>
        </is>
      </c>
      <c r="L41" s="5" t="inlineStr"/>
      <c r="M41" s="6" t="inlineStr">
        <is>
          <t>https://es.wikipedia.org/wiki/El_paseo_4</t>
        </is>
      </c>
      <c r="N41" s="6" t="inlineStr">
        <is>
          <t>https://www.themoviedb.org/movie/434608</t>
        </is>
      </c>
      <c r="O41" s="5" t="inlineStr">
        <is>
          <t>non relevé</t>
        </is>
      </c>
      <c r="P41" s="5" t="inlineStr">
        <is>
          <t>María, llena eres de gracia (2004, 444 votes)</t>
        </is>
      </c>
      <c r="Q41" s="5" t="inlineStr">
        <is>
          <t>The Hidden Face (2011)</t>
        </is>
      </c>
      <c r="R41" s="5" t="inlineStr"/>
      <c r="S41" s="5" t="inlineStr">
        <is>
          <t>Wikipedia la dit deuxième film colombien le plus vu, derrière le documentaire Colombia Magia Salvaje, exclu par la règle documentaire. Source secondaire, à recouper avec Proimágenes Colombia.</t>
        </is>
      </c>
    </row>
    <row r="42">
      <c r="A42" s="3" t="inlineStr">
        <is>
          <t>Comores</t>
        </is>
      </c>
      <c r="B42" s="3" t="inlineStr">
        <is>
          <t>Afrique</t>
        </is>
      </c>
      <c r="C42" s="9" t="inlineStr">
        <is>
          <t>C</t>
        </is>
      </c>
      <c r="D42" s="3" t="inlineStr">
        <is>
          <t>faible (choix éditorial, pas d'audience)</t>
        </is>
      </c>
      <c r="E42" s="3" t="inlineStr">
        <is>
          <t>Yéyamba Wandzé Mdrou Ndo?</t>
        </is>
      </c>
      <c r="F42" s="3" t="inlineStr">
        <is>
          <t>Yéyamba Wandzé Mdrou Ndo?</t>
        </is>
      </c>
      <c r="G42" s="3" t="inlineStr">
        <is>
          <t>2000</t>
        </is>
      </c>
      <c r="H42" s="3" t="inlineStr">
        <is>
          <t>cr</t>
        </is>
      </c>
      <c r="I42" s="3" t="inlineStr"/>
      <c r="J42" s="3" t="n">
        <v>55</v>
      </c>
      <c r="K42" s="5" t="inlineStr">
        <is>
          <t>choix « native » de Films Around the World</t>
        </is>
      </c>
      <c r="L42" s="5" t="inlineStr"/>
      <c r="M42" s="6" t="inlineStr">
        <is>
          <t>https://filmsaroundthe.world/country/comoros/films/yeyamba-wandze-mdrou-ndo-fd72b6e081afa42e4/</t>
        </is>
      </c>
      <c r="N42" s="6" t="inlineStr">
        <is>
          <t>https://www.themoviedb.org/movie/470953</t>
        </is>
      </c>
      <c r="O42" s="5" t="inlineStr"/>
      <c r="P42" s="5" t="inlineStr">
        <is>
          <t>Miadi (2023, 1 votes)</t>
        </is>
      </c>
      <c r="Q42" s="5" t="inlineStr">
        <is>
          <t>Yéyamba Wandzé Mdrou Ndo? (2000)</t>
        </is>
      </c>
      <c r="R42" s="5" t="inlineStr"/>
      <c r="S42" s="5" t="inlineStr">
        <is>
          <t>pas de box-office national suivi ou publié trouvé</t>
        </is>
      </c>
    </row>
    <row r="43">
      <c r="A43" s="3" t="inlineStr">
        <is>
          <t>Congo</t>
        </is>
      </c>
      <c r="B43" s="3" t="inlineStr">
        <is>
          <t>Afrique</t>
        </is>
      </c>
      <c r="C43" s="9" t="inlineStr">
        <is>
          <t>C</t>
        </is>
      </c>
      <c r="D43" s="3" t="inlineStr">
        <is>
          <t>faible (choix éditorial, pas d'audience)</t>
        </is>
      </c>
      <c r="E43" s="3" t="inlineStr">
        <is>
          <t>La Rançon d'une alliance</t>
        </is>
      </c>
      <c r="F43" s="3" t="inlineStr">
        <is>
          <t>La Rançon d'une alliance</t>
        </is>
      </c>
      <c r="G43" s="3" t="inlineStr">
        <is>
          <t>1974</t>
        </is>
      </c>
      <c r="H43" s="3" t="inlineStr">
        <is>
          <t>ln</t>
        </is>
      </c>
      <c r="I43" s="3" t="inlineStr"/>
      <c r="J43" s="3" t="n">
        <v>71</v>
      </c>
      <c r="K43" s="5" t="inlineStr">
        <is>
          <t>choix « native » de Films Around the World</t>
        </is>
      </c>
      <c r="L43" s="5" t="inlineStr"/>
      <c r="M43" s="6" t="inlineStr">
        <is>
          <t>https://filmsaroundthe.world/country/republic-of-the-congo/films/la-rancon-d-une-alliance-f6f7324a3da5cd10a/</t>
        </is>
      </c>
      <c r="N43" s="6" t="inlineStr">
        <is>
          <t>https://www.themoviedb.org/movie/984973</t>
        </is>
      </c>
      <c r="O43" s="5" t="inlineStr"/>
      <c r="P43" s="5" t="inlineStr">
        <is>
          <t>Grave erreur 2 (2019, 1 votes)</t>
        </is>
      </c>
      <c r="Q43" s="5" t="inlineStr">
        <is>
          <t>La Rançon d'une alliance (1974)</t>
        </is>
      </c>
      <c r="R43" s="5" t="inlineStr"/>
      <c r="S43" s="5" t="inlineStr">
        <is>
          <t>pas de box-office national suivi ou publié trouvé</t>
        </is>
      </c>
    </row>
    <row r="44">
      <c r="A44" s="3" t="inlineStr">
        <is>
          <t>Congo (Rép. dém.)</t>
        </is>
      </c>
      <c r="B44" s="3" t="inlineStr">
        <is>
          <t>Afrique</t>
        </is>
      </c>
      <c r="C44" s="9" t="inlineStr">
        <is>
          <t>C</t>
        </is>
      </c>
      <c r="D44" s="3" t="inlineStr">
        <is>
          <t>faible (choix éditorial, pas d'audience)</t>
        </is>
      </c>
      <c r="E44" s="3" t="inlineStr">
        <is>
          <t>Viva Riva!</t>
        </is>
      </c>
      <c r="F44" s="3" t="inlineStr">
        <is>
          <t>Viva Riva!</t>
        </is>
      </c>
      <c r="G44" s="3" t="inlineStr">
        <is>
          <t>2010</t>
        </is>
      </c>
      <c r="H44" s="3" t="inlineStr">
        <is>
          <t>fr</t>
        </is>
      </c>
      <c r="I44" s="3" t="inlineStr"/>
      <c r="J44" s="3" t="n">
        <v>93</v>
      </c>
      <c r="K44" s="5" t="inlineStr">
        <is>
          <t>choix « native » de Films Around the World</t>
        </is>
      </c>
      <c r="L44" s="5" t="inlineStr"/>
      <c r="M44" s="6" t="inlineStr">
        <is>
          <t>https://filmsaroundthe.world/country/democratic-republic-of-the-congo/films/viva-riva-f931fdd22c03ee7ee/</t>
        </is>
      </c>
      <c r="N44" s="6" t="inlineStr">
        <is>
          <t>https://www.themoviedb.org/movie/63946</t>
        </is>
      </c>
      <c r="O44" s="5" t="inlineStr"/>
      <c r="P44" s="5" t="inlineStr">
        <is>
          <t>Rumba Royale (2025, 2 votes)</t>
        </is>
      </c>
      <c r="Q44" s="5" t="inlineStr">
        <is>
          <t>Viva Riva! (2010)</t>
        </is>
      </c>
      <c r="R44" s="5" t="inlineStr"/>
      <c r="S44" s="5" t="inlineStr">
        <is>
          <t>pas de box-office national suivi ou publié trouvé</t>
        </is>
      </c>
    </row>
    <row r="45">
      <c r="A45" s="3" t="inlineStr">
        <is>
          <t>Corée du Nord</t>
        </is>
      </c>
      <c r="B45" s="3" t="inlineStr">
        <is>
          <t>Asie</t>
        </is>
      </c>
      <c r="C45" s="4" t="inlineStr">
        <is>
          <t>B</t>
        </is>
      </c>
      <c r="D45" s="3" t="inlineStr">
        <is>
          <t>moyenne</t>
        </is>
      </c>
      <c r="E45" s="3" t="inlineStr">
        <is>
          <t>불가사리</t>
        </is>
      </c>
      <c r="F45" s="3" t="inlineStr">
        <is>
          <t>Pulgasari</t>
        </is>
      </c>
      <c r="G45" s="3" t="inlineStr">
        <is>
          <t>1986</t>
        </is>
      </c>
      <c r="H45" s="3" t="inlineStr">
        <is>
          <t>ko</t>
        </is>
      </c>
      <c r="I45" s="3" t="inlineStr"/>
      <c r="J45" s="3" t="n">
        <v>95</v>
      </c>
      <c r="K45" s="5" t="inlineStr">
        <is>
          <t>popularité TMDB : 57 votes</t>
        </is>
      </c>
      <c r="L45" s="5" t="inlineStr">
        <is>
          <t>gratuit : Cultpix</t>
        </is>
      </c>
      <c r="M45" s="6" t="inlineStr">
        <is>
          <t>https://www.themoviedb.org/movie/26974</t>
        </is>
      </c>
      <c r="N45" s="6" t="inlineStr">
        <is>
          <t>https://www.themoviedb.org/movie/26974</t>
        </is>
      </c>
      <c r="O45" s="5" t="inlineStr"/>
      <c r="P45" s="5" t="inlineStr">
        <is>
          <t>불가사리 (1986, 57 votes)</t>
        </is>
      </c>
      <c r="Q45" s="5" t="inlineStr">
        <is>
          <t>Hong Gil-dong (1986)</t>
        </is>
      </c>
      <c r="R45" s="5" t="inlineStr"/>
      <c r="S45" s="5" t="inlineStr">
        <is>
          <t>No sourced box office data.</t>
        </is>
      </c>
    </row>
    <row r="46">
      <c r="A46" s="3" t="inlineStr">
        <is>
          <t>Corée du Sud</t>
        </is>
      </c>
      <c r="B46" s="3" t="inlineStr">
        <is>
          <t>Asie</t>
        </is>
      </c>
      <c r="C46" s="7" t="inlineStr">
        <is>
          <t>A</t>
        </is>
      </c>
      <c r="D46" s="3" t="inlineStr">
        <is>
          <t>forte</t>
        </is>
      </c>
      <c r="E46" s="3" t="inlineStr">
        <is>
          <t>명량</t>
        </is>
      </c>
      <c r="F46" s="3" t="inlineStr">
        <is>
          <t>L'Amiral</t>
        </is>
      </c>
      <c r="G46" s="3" t="inlineStr">
        <is>
          <t>2014</t>
        </is>
      </c>
      <c r="H46" s="3" t="inlineStr">
        <is>
          <t>ko</t>
        </is>
      </c>
      <c r="I46" s="3" t="inlineStr"/>
      <c r="J46" s="3" t="n">
        <v>126</v>
      </c>
      <c r="K46" s="5" t="inlineStr">
        <is>
          <t>entrées : 17,616,661</t>
        </is>
      </c>
      <c r="L46" s="5" t="inlineStr">
        <is>
          <t>gratuit pub : Rakuten TV, Plex, Plex Channel ; location : Apple TV Store, YouTube ; achat : Apple TV Store, YouTube, Canal VOD</t>
        </is>
      </c>
      <c r="M46" s="6" t="inlineStr">
        <is>
          <t>https://en.wikipedia.org/wiki/List_of_highest-grossing_films_in_South_Korea</t>
        </is>
      </c>
      <c r="N46" s="6" t="inlineStr">
        <is>
          <t>https://www.themoviedb.org/movie/282631</t>
        </is>
      </c>
      <c r="O46" s="5" t="inlineStr">
        <is>
          <t>The King's Warden (2026, 16,918,111)</t>
        </is>
      </c>
      <c r="P46" s="5" t="inlineStr">
        <is>
          <t>기생충 (2019, 21540 votes)</t>
        </is>
      </c>
      <c r="Q46" s="5" t="inlineStr">
        <is>
          <t>Parasite (2019)</t>
        </is>
      </c>
      <c r="R46" s="5" t="inlineStr"/>
      <c r="S46" s="5" t="inlineStr">
        <is>
          <t>KOFIC admissions.</t>
        </is>
      </c>
    </row>
    <row r="47">
      <c r="A47" s="3" t="inlineStr">
        <is>
          <t>Costa Rica</t>
        </is>
      </c>
      <c r="B47" s="3" t="inlineStr">
        <is>
          <t>Amériques</t>
        </is>
      </c>
      <c r="C47" s="7" t="inlineStr">
        <is>
          <t>A</t>
        </is>
      </c>
      <c r="D47" s="3" t="inlineStr">
        <is>
          <t>forte</t>
        </is>
      </c>
      <c r="E47" s="3" t="inlineStr">
        <is>
          <t>Maikol Yordan de viaje perdido</t>
        </is>
      </c>
      <c r="F47" s="3" t="inlineStr">
        <is>
          <t>Maikol Yordan de Viaje Perdido</t>
        </is>
      </c>
      <c r="G47" s="3" t="inlineStr">
        <is>
          <t>2014</t>
        </is>
      </c>
      <c r="H47" s="3" t="inlineStr">
        <is>
          <t>es</t>
        </is>
      </c>
      <c r="I47" s="3" t="inlineStr"/>
      <c r="J47" s="3" t="n">
        <v>101</v>
      </c>
      <c r="K47" s="5" t="inlineStr">
        <is>
          <t>entrées : 550 629</t>
        </is>
      </c>
      <c r="L47" s="5" t="inlineStr"/>
      <c r="M47" s="6" t="inlineStr">
        <is>
          <t>https://www.nacion.com/viva/cine/maikol-yordan-de-viaje-perdido-es-la-pelicula-mas-vista-en-la-historia-de-costa-rica/IZ7PGSKN3ZDG7HUGEPD5KHNOXY/story/</t>
        </is>
      </c>
      <c r="N47" s="6" t="inlineStr">
        <is>
          <t>https://www.themoviedb.org/movie/364868</t>
        </is>
      </c>
      <c r="O47" s="5" t="inlineStr">
        <is>
          <t>n/d</t>
        </is>
      </c>
      <c r="P47" s="5" t="inlineStr">
        <is>
          <t>Aurora (2021, 37 votes)</t>
        </is>
      </c>
      <c r="Q47" s="5" t="inlineStr">
        <is>
          <t>Maikol Yordan de Viaje Perdido (2014)</t>
        </is>
      </c>
      <c r="R47" s="5" t="inlineStr"/>
      <c r="S47" s="5" t="inlineStr">
        <is>
          <t>Chiffre à ~6 semaines (janvier 2015), total final probablement plus élevé. Dépasse La era del hielo 4 (543 790).</t>
        </is>
      </c>
    </row>
    <row r="48">
      <c r="A48" s="3" t="inlineStr">
        <is>
          <t>Côte d'Ivoire</t>
        </is>
      </c>
      <c r="B48" s="3" t="inlineStr">
        <is>
          <t>Afrique</t>
        </is>
      </c>
      <c r="C48" s="7" t="inlineStr">
        <is>
          <t>A</t>
        </is>
      </c>
      <c r="D48" s="3" t="inlineStr">
        <is>
          <t>forte</t>
        </is>
      </c>
      <c r="E48" s="3" t="inlineStr">
        <is>
          <t>Marabout chéri</t>
        </is>
      </c>
      <c r="F48" s="3" t="inlineStr">
        <is>
          <t>Marabout Chéri</t>
        </is>
      </c>
      <c r="G48" s="3" t="inlineStr">
        <is>
          <t>2023</t>
        </is>
      </c>
      <c r="H48" s="3" t="inlineStr">
        <is>
          <t>fr</t>
        </is>
      </c>
      <c r="I48" s="3" t="inlineStr"/>
      <c r="J48" s="3" t="inlineStr"/>
      <c r="K48" s="5" t="inlineStr">
        <is>
          <t>entrées : 35 312</t>
        </is>
      </c>
      <c r="L48" s="5" t="inlineStr"/>
      <c r="M48" s="6" t="inlineStr">
        <is>
          <t>https://cotedivoirecinema.com/index.php/2026/05/08/test-article-1</t>
        </is>
      </c>
      <c r="N48" s="6" t="inlineStr">
        <is>
          <t>https://www.themoviedb.org/movie/1125238</t>
        </is>
      </c>
      <c r="O48" s="5" t="inlineStr">
        <is>
          <t>Dans la peau d'un caïd (2019) : 21 483</t>
        </is>
      </c>
      <c r="P48" s="5" t="inlineStr">
        <is>
          <t>La Victoire en chantant (1976, 44 votes)</t>
        </is>
      </c>
      <c r="Q48" s="5" t="inlineStr">
        <is>
          <t>Faces of Women (1985)</t>
        </is>
      </c>
      <c r="R48" s="5" t="inlineStr"/>
      <c r="S48" s="5" t="inlineStr">
        <is>
          <t>Source ONAC-CI (« reste à ce jour le plus grand succès du cinéma ivoirien »). Suivi chiffré seulement depuis 2019 ; voir aussi https://fr.wikipedia.org/wiki/Box-office_C%C3%B4te_d%27Ivoire. Marché de 15 écrans.</t>
        </is>
      </c>
    </row>
    <row r="49">
      <c r="A49" s="3" t="inlineStr">
        <is>
          <t>Croatie</t>
        </is>
      </c>
      <c r="B49" s="3" t="inlineStr">
        <is>
          <t>Europe</t>
        </is>
      </c>
      <c r="C49" s="7" t="inlineStr">
        <is>
          <t>A</t>
        </is>
      </c>
      <c r="D49" s="3" t="inlineStr">
        <is>
          <t>forte</t>
        </is>
      </c>
      <c r="E49" s="3" t="inlineStr">
        <is>
          <t>Svadba</t>
        </is>
      </c>
      <c r="F49" s="3" t="inlineStr">
        <is>
          <t>Svadba</t>
        </is>
      </c>
      <c r="G49" s="3" t="inlineStr">
        <is>
          <t>2026</t>
        </is>
      </c>
      <c r="H49" s="3" t="inlineStr">
        <is>
          <t>hr</t>
        </is>
      </c>
      <c r="I49" s="3" t="inlineStr"/>
      <c r="J49" s="3" t="n">
        <v>97</v>
      </c>
      <c r="K49" s="5" t="inlineStr">
        <is>
          <t>entrées : 426474</t>
        </is>
      </c>
      <c r="L49" s="5" t="inlineStr"/>
      <c r="M49" s="6" t="inlineStr">
        <is>
          <t>https://hr.wikipedia.org/wiki/Popis_najgledanijih_hrvatskih_filmova</t>
        </is>
      </c>
      <c r="N49" s="6" t="inlineStr">
        <is>
          <t>https://www.themoviedb.org/movie/1551507</t>
        </is>
      </c>
      <c r="O49" s="5" t="inlineStr">
        <is>
          <t>Kako je počeo rat na mom otoku (1996), 338000</t>
        </is>
      </c>
      <c r="P49" s="5" t="inlineStr">
        <is>
          <t>Svećenikova djeca (2013, 74 votes)</t>
        </is>
      </c>
      <c r="Q49" s="5" t="inlineStr">
        <is>
          <t>The High Sun (2015)</t>
        </is>
      </c>
      <c r="R49" s="5" t="inlineStr"/>
      <c r="S49" s="5" t="inlineStr">
        <is>
          <t>Chiffre au 4/02/2026. Nationalité du film à confirmer (réalisateur croate, casting en partie serbe).</t>
        </is>
      </c>
    </row>
    <row r="50">
      <c r="A50" s="3" t="inlineStr">
        <is>
          <t>Cuba</t>
        </is>
      </c>
      <c r="B50" s="3" t="inlineStr">
        <is>
          <t>Amériques</t>
        </is>
      </c>
      <c r="C50" s="4" t="inlineStr">
        <is>
          <t>B</t>
        </is>
      </c>
      <c r="D50" s="3" t="inlineStr">
        <is>
          <t>moyenne</t>
        </is>
      </c>
      <c r="E50" s="3" t="inlineStr">
        <is>
          <t>Soy Cuba</t>
        </is>
      </c>
      <c r="F50" s="3" t="inlineStr">
        <is>
          <t>Soy Cuba</t>
        </is>
      </c>
      <c r="G50" s="3" t="inlineStr">
        <is>
          <t>1964</t>
        </is>
      </c>
      <c r="H50" s="3" t="inlineStr">
        <is>
          <t>es</t>
        </is>
      </c>
      <c r="I50" s="3" t="inlineStr"/>
      <c r="J50" s="3" t="n">
        <v>140</v>
      </c>
      <c r="K50" s="5" t="inlineStr">
        <is>
          <t>popularité TMDB : 265 votes</t>
        </is>
      </c>
      <c r="L50" s="5" t="inlineStr">
        <is>
          <t>achat : Sooner</t>
        </is>
      </c>
      <c r="M50" s="6" t="inlineStr">
        <is>
          <t>https://www.themoviedb.org/movie/32015</t>
        </is>
      </c>
      <c r="N50" s="6" t="inlineStr">
        <is>
          <t>https://www.themoviedb.org/movie/32015</t>
        </is>
      </c>
      <c r="O50" s="5" t="inlineStr"/>
      <c r="P50" s="5" t="inlineStr">
        <is>
          <t>Soy Cuba (1964, 265 votes)</t>
        </is>
      </c>
      <c r="Q50" s="5" t="inlineStr">
        <is>
          <t>Memories of Underdevelopment (1968)</t>
        </is>
      </c>
      <c r="R50" s="5" t="inlineStr"/>
      <c r="S50" s="5" t="inlineStr">
        <is>
          <t>Pas d'entrées sourcées. Candidats : Fresa y chocolate (1993), Vampiros en La Habana (1985), Juan de los Muertos (2011). / Aucune donnée sourcée trouvée dans cette passe</t>
        </is>
      </c>
    </row>
    <row r="51">
      <c r="A51" s="3" t="inlineStr">
        <is>
          <t>Danemark</t>
        </is>
      </c>
      <c r="B51" s="3" t="inlineStr">
        <is>
          <t>Europe</t>
        </is>
      </c>
      <c r="C51" s="7" t="inlineStr">
        <is>
          <t>A</t>
        </is>
      </c>
      <c r="D51" s="3" t="inlineStr">
        <is>
          <t>forte</t>
        </is>
      </c>
      <c r="E51" s="3" t="inlineStr">
        <is>
          <t>Olsen-banden ser rødt</t>
        </is>
      </c>
      <c r="F51" s="3" t="inlineStr">
        <is>
          <t>Olsen-banden ser rødt</t>
        </is>
      </c>
      <c r="G51" s="3" t="inlineStr">
        <is>
          <t>1976</t>
        </is>
      </c>
      <c r="H51" s="3" t="inlineStr">
        <is>
          <t>da</t>
        </is>
      </c>
      <c r="I51" s="3" t="inlineStr"/>
      <c r="J51" s="3" t="n">
        <v>100</v>
      </c>
      <c r="K51" s="5" t="inlineStr">
        <is>
          <t>entrées : 1201293</t>
        </is>
      </c>
      <c r="L51" s="5" t="inlineStr"/>
      <c r="M51" s="6" t="inlineStr">
        <is>
          <t>https://da.wikipedia.org/wiki/Mest_sete_danske_film</t>
        </is>
      </c>
      <c r="N51" s="6" t="inlineStr">
        <is>
          <t>https://www.themoviedb.org/movie/11392</t>
        </is>
      </c>
      <c r="O51" s="5" t="inlineStr">
        <is>
          <t>Olsen-banden deruda' (1977), 1044801</t>
        </is>
      </c>
      <c r="P51" s="5" t="inlineStr">
        <is>
          <t>Jagten (2012, 5045 votes)</t>
        </is>
      </c>
      <c r="Q51" s="5" t="inlineStr">
        <is>
          <t>Ordet (1955)</t>
        </is>
      </c>
      <c r="R51" s="5" t="inlineStr"/>
      <c r="S51" s="5" t="inlineStr">
        <is>
          <t>Statistiques depuis 1976. De røde Heste (1950) estimé à 2,0-2,6 M, non officiel.</t>
        </is>
      </c>
    </row>
    <row r="52">
      <c r="A52" s="3" t="inlineStr">
        <is>
          <t>Djibouti</t>
        </is>
      </c>
      <c r="B52" s="3" t="inlineStr">
        <is>
          <t>Afrique</t>
        </is>
      </c>
      <c r="C52" s="9" t="inlineStr">
        <is>
          <t>C</t>
        </is>
      </c>
      <c r="D52" s="3" t="inlineStr">
        <is>
          <t>faible (choix éditorial, pas d'audience)</t>
        </is>
      </c>
      <c r="E52" s="3" t="inlineStr">
        <is>
          <t>Dhalinyaro</t>
        </is>
      </c>
      <c r="F52" s="3" t="inlineStr">
        <is>
          <t>Jeunesse</t>
        </is>
      </c>
      <c r="G52" s="3" t="inlineStr">
        <is>
          <t>2018</t>
        </is>
      </c>
      <c r="H52" s="3" t="inlineStr">
        <is>
          <t>so</t>
        </is>
      </c>
      <c r="I52" s="3" t="inlineStr"/>
      <c r="J52" s="3" t="n">
        <v>86</v>
      </c>
      <c r="K52" s="5" t="inlineStr">
        <is>
          <t>choix « native » de Films Around the World</t>
        </is>
      </c>
      <c r="L52" s="5" t="inlineStr"/>
      <c r="M52" s="6" t="inlineStr">
        <is>
          <t>https://filmsaroundthe.world/country/djibouti/films/dhalinyaro-fd603e389fe341fd0/</t>
        </is>
      </c>
      <c r="N52" s="6" t="inlineStr">
        <is>
          <t>https://www.themoviedb.org/movie/345927</t>
        </is>
      </c>
      <c r="O52" s="5" t="inlineStr"/>
      <c r="P52" s="5" t="inlineStr"/>
      <c r="Q52" s="5" t="inlineStr">
        <is>
          <t>Dhalinyaro (2018)</t>
        </is>
      </c>
      <c r="R52" s="5" t="inlineStr"/>
      <c r="S52" s="5" t="inlineStr">
        <is>
          <t>pas de box-office national suivi ou publié trouvé</t>
        </is>
      </c>
    </row>
    <row r="53">
      <c r="A53" s="3" t="inlineStr">
        <is>
          <t>Dominique</t>
        </is>
      </c>
      <c r="B53" s="3" t="inlineStr">
        <is>
          <t>Amériques</t>
        </is>
      </c>
      <c r="C53" s="8" t="inlineStr">
        <is>
          <t>D</t>
        </is>
      </c>
      <c r="D53" s="3" t="inlineStr">
        <is>
          <t>très faible (moins de 50 votes)</t>
        </is>
      </c>
      <c r="E53" s="3" t="inlineStr">
        <is>
          <t>Oseyi and the Masqueraders</t>
        </is>
      </c>
      <c r="F53" s="3" t="inlineStr">
        <is>
          <t>Oseyi and the Masqueraders</t>
        </is>
      </c>
      <c r="G53" s="3" t="inlineStr">
        <is>
          <t>2018</t>
        </is>
      </c>
      <c r="H53" s="3" t="inlineStr">
        <is>
          <t>en</t>
        </is>
      </c>
      <c r="I53" s="3" t="inlineStr"/>
      <c r="J53" s="3" t="n">
        <v>30</v>
      </c>
      <c r="K53" s="5" t="inlineStr">
        <is>
          <t>popularité TMDB : 1 votes</t>
        </is>
      </c>
      <c r="L53" s="5" t="inlineStr"/>
      <c r="M53" s="6" t="inlineStr">
        <is>
          <t>https://www.themoviedb.org/movie/1269098</t>
        </is>
      </c>
      <c r="N53" s="6" t="inlineStr">
        <is>
          <t>https://www.themoviedb.org/movie/1269098</t>
        </is>
      </c>
      <c r="O53" s="5" t="inlineStr"/>
      <c r="P53" s="5" t="inlineStr">
        <is>
          <t>Oseyi and the Masqueraders (2018, 1 votes)</t>
        </is>
      </c>
      <c r="Q53" s="5" t="inlineStr"/>
      <c r="R53" s="5" t="inlineStr"/>
      <c r="S53" s="5" t="inlineStr">
        <is>
          <t>Aucune donnée sourcée trouvée dans cette passe</t>
        </is>
      </c>
    </row>
    <row r="54">
      <c r="A54" s="3" t="inlineStr">
        <is>
          <t>Égypte</t>
        </is>
      </c>
      <c r="B54" s="3" t="inlineStr">
        <is>
          <t>Afrique</t>
        </is>
      </c>
      <c r="C54" s="7" t="inlineStr">
        <is>
          <t>A</t>
        </is>
      </c>
      <c r="D54" s="3" t="inlineStr">
        <is>
          <t>bonne</t>
        </is>
      </c>
      <c r="E54" s="3" t="inlineStr">
        <is>
          <t>ولاد رزق 3</t>
        </is>
      </c>
      <c r="F54" s="3" t="inlineStr">
        <is>
          <t>ولاد رزق 3: القاضية</t>
        </is>
      </c>
      <c r="G54" s="3" t="inlineStr">
        <is>
          <t>2024</t>
        </is>
      </c>
      <c r="H54" s="3" t="inlineStr">
        <is>
          <t>ar</t>
        </is>
      </c>
      <c r="I54" s="3" t="inlineStr"/>
      <c r="J54" s="3" t="n">
        <v>125</v>
      </c>
      <c r="K54" s="5" t="inlineStr">
        <is>
          <t>recettes nationales : EGP 260,226,986</t>
        </is>
      </c>
      <c r="L54" s="5" t="inlineStr">
        <is>
          <t>abonnement : Shahid VIP</t>
        </is>
      </c>
      <c r="M54" s="6" t="inlineStr">
        <is>
          <t>https://ar.wikipedia.org/wiki/%D9%82%D8%A7%D8%A6%D9%85%D8%A9_%D8%A3%D8%B9%D9%84%D9%89_%D8%A7%D9%84%D8%A3%D9%81%D9%84%D8%A7%D9%85_%D8%AF%D8%AE%D9%84%D8%A7_%D9%81%D9%8A_%D9%85%D8%B5%D8%B1</t>
        </is>
      </c>
      <c r="N54" s="6" t="inlineStr">
        <is>
          <t>https://www.themoviedb.org/movie/629040</t>
        </is>
      </c>
      <c r="O54" s="5" t="inlineStr">
        <is>
          <t>Barshama (2026) EGP 210,867,672 ; Sico Sico (2025) EGP 186,755,604</t>
        </is>
      </c>
      <c r="P54" s="5" t="inlineStr">
        <is>
          <t>باب الحديد (1958, 155 votes)</t>
        </is>
      </c>
      <c r="Q54" s="5" t="inlineStr">
        <is>
          <t>Cairo Station (1958)</t>
        </is>
      </c>
      <c r="R54" s="5" t="inlineStr"/>
      <c r="S54" s="5" t="inlineStr">
        <is>
          <t>Arbitrage : 7 Dogs (2026, 272,9 M EGP) est devant, mais c'est une production saoudienne avec un casting égyptien. Écarté. AMBIGU : l'Arabe Wikipedia place en tête Al-Kilab al-Sab'a / 7 Dogs (2026, EGP 272,871,508), classé production saoudienne (Sela Studios, réal. belges Adil &amp; Bilall) avec casting égyptien. Écarté comme non national. Recettes en livres, pas d'entrées (inflation des prix).</t>
        </is>
      </c>
    </row>
    <row r="55">
      <c r="A55" s="3" t="inlineStr">
        <is>
          <t>Émirats arabes unis</t>
        </is>
      </c>
      <c r="B55" s="3" t="inlineStr">
        <is>
          <t>Moyen-Orient</t>
        </is>
      </c>
      <c r="C55" s="4" t="inlineStr">
        <is>
          <t>B</t>
        </is>
      </c>
      <c r="D55" s="3" t="inlineStr">
        <is>
          <t>moyenne</t>
        </is>
      </c>
      <c r="E55" s="3" t="inlineStr">
        <is>
          <t>المختارون</t>
        </is>
      </c>
      <c r="F55" s="3" t="inlineStr">
        <is>
          <t>The Worthy</t>
        </is>
      </c>
      <c r="G55" s="3" t="inlineStr">
        <is>
          <t>2016</t>
        </is>
      </c>
      <c r="H55" s="3" t="inlineStr">
        <is>
          <t>ar</t>
        </is>
      </c>
      <c r="I55" s="3" t="inlineStr"/>
      <c r="J55" s="3" t="n">
        <v>99</v>
      </c>
      <c r="K55" s="5" t="inlineStr">
        <is>
          <t>popularité TMDB : 90 votes</t>
        </is>
      </c>
      <c r="L55" s="5" t="inlineStr">
        <is>
          <t>abonnement : Netflix, Netflix Standard with Ads</t>
        </is>
      </c>
      <c r="M55" s="6" t="inlineStr">
        <is>
          <t>https://www.themoviedb.org/movie/413780</t>
        </is>
      </c>
      <c r="N55" s="6" t="inlineStr">
        <is>
          <t>https://www.themoviedb.org/movie/413780</t>
        </is>
      </c>
      <c r="O55" s="5" t="inlineStr"/>
      <c r="P55" s="5" t="inlineStr">
        <is>
          <t>المختارون (2016, 90 votes)</t>
        </is>
      </c>
      <c r="Q55" s="5" t="inlineStr">
        <is>
          <t>Rattle the Cage (2015)</t>
        </is>
      </c>
      <c r="R55" s="5" t="inlineStr"/>
      <c r="S55" s="5" t="inlineStr">
        <is>
          <t>Aucun record documenté trouvé pour un film émirien en salles. / pas de box-office national suivi ou publié trouvé</t>
        </is>
      </c>
    </row>
    <row r="56">
      <c r="A56" s="3" t="inlineStr">
        <is>
          <t>Équateur</t>
        </is>
      </c>
      <c r="B56" s="3" t="inlineStr">
        <is>
          <t>Amériques</t>
        </is>
      </c>
      <c r="C56" s="7" t="inlineStr">
        <is>
          <t>A</t>
        </is>
      </c>
      <c r="D56" s="3" t="inlineStr">
        <is>
          <t>forte</t>
        </is>
      </c>
      <c r="E56" s="3" t="inlineStr">
        <is>
          <t>Dedicada a mi ex</t>
        </is>
      </c>
      <c r="F56" s="3" t="inlineStr">
        <is>
          <t>Dedicada A Mi Ex</t>
        </is>
      </c>
      <c r="G56" s="3" t="inlineStr">
        <is>
          <t>2019</t>
        </is>
      </c>
      <c r="H56" s="3" t="inlineStr">
        <is>
          <t>es</t>
        </is>
      </c>
      <c r="I56" s="3" t="inlineStr"/>
      <c r="J56" s="3" t="n">
        <v>94</v>
      </c>
      <c r="K56" s="5" t="inlineStr">
        <is>
          <t>entrées : 312 758</t>
        </is>
      </c>
      <c r="L56" s="5" t="inlineStr"/>
      <c r="M56" s="6" t="inlineStr">
        <is>
          <t>https://es.wikipedia.org/wiki/Anexo:Pel%C3%ADculas_de_Ecuador</t>
        </is>
      </c>
      <c r="N56" s="6" t="inlineStr">
        <is>
          <t>https://www.themoviedb.org/movie/644479</t>
        </is>
      </c>
      <c r="O56" s="5" t="inlineStr">
        <is>
          <t>La Tigra (1990), 250 000</t>
        </is>
      </c>
      <c r="P56" s="5" t="inlineStr">
        <is>
          <t>Misfit #EresOTeHaces (2021, 213 votes)</t>
        </is>
      </c>
      <c r="Q56" s="5" t="inlineStr">
        <is>
          <t>Dedicada a mi ex (2019)</t>
        </is>
      </c>
      <c r="R56" s="5" t="inlineStr"/>
      <c r="S56" s="5" t="inlineStr">
        <is>
          <t>Équateur seul ; 522 000 en Amérique latine. Dos para el camino (1981) serait ~500 000 mais sans données fiables. Ambigu.</t>
        </is>
      </c>
    </row>
    <row r="57">
      <c r="A57" s="3" t="inlineStr">
        <is>
          <t>Érythrée</t>
        </is>
      </c>
      <c r="B57" s="3" t="inlineStr">
        <is>
          <t>Afrique</t>
        </is>
      </c>
      <c r="C57" s="9" t="inlineStr">
        <is>
          <t>C</t>
        </is>
      </c>
      <c r="D57" s="3" t="inlineStr">
        <is>
          <t>faible (choix éditorial, pas d'audience)</t>
        </is>
      </c>
      <c r="E57" s="3" t="inlineStr">
        <is>
          <t>ባሩድ</t>
        </is>
      </c>
      <c r="F57" s="3" t="inlineStr">
        <is>
          <t>ባሩድ</t>
        </is>
      </c>
      <c r="G57" s="3" t="inlineStr">
        <is>
          <t>1997</t>
        </is>
      </c>
      <c r="H57" s="3" t="inlineStr">
        <is>
          <t>ti</t>
        </is>
      </c>
      <c r="I57" s="3" t="inlineStr"/>
      <c r="J57" s="3" t="n">
        <v>111</v>
      </c>
      <c r="K57" s="5" t="inlineStr">
        <is>
          <t>choix « native » de Films Around the World</t>
        </is>
      </c>
      <c r="L57" s="5" t="inlineStr"/>
      <c r="M57" s="6" t="inlineStr">
        <is>
          <t>https://filmsaroundthe.world/country/eritrea/films/barud-77-f882991ee7fc593a6/</t>
        </is>
      </c>
      <c r="N57" s="6" t="inlineStr">
        <is>
          <t>https://www.themoviedb.org/movie/662924</t>
        </is>
      </c>
      <c r="O57" s="5" t="inlineStr"/>
      <c r="P57" s="5" t="inlineStr">
        <is>
          <t>ሺኮሪናታት (2006, 0 votes)</t>
        </is>
      </c>
      <c r="Q57" s="5" t="inlineStr">
        <is>
          <t>Barud 77 (1997)</t>
        </is>
      </c>
      <c r="R57" s="5" t="inlineStr"/>
      <c r="S57" s="5" t="inlineStr">
        <is>
          <t>pas de box-office national suivi ou publié trouvé</t>
        </is>
      </c>
    </row>
    <row r="58">
      <c r="A58" s="3" t="inlineStr">
        <is>
          <t>Espagne</t>
        </is>
      </c>
      <c r="B58" s="3" t="inlineStr">
        <is>
          <t>Europe</t>
        </is>
      </c>
      <c r="C58" s="7" t="inlineStr">
        <is>
          <t>A</t>
        </is>
      </c>
      <c r="D58" s="3" t="inlineStr">
        <is>
          <t>bonne</t>
        </is>
      </c>
      <c r="E58" s="3" t="inlineStr">
        <is>
          <t>Ocho apellidos vascos</t>
        </is>
      </c>
      <c r="F58" s="3" t="inlineStr">
        <is>
          <t>Ocho apellidos vascos</t>
        </is>
      </c>
      <c r="G58" s="3" t="inlineStr">
        <is>
          <t>2014</t>
        </is>
      </c>
      <c r="H58" s="3" t="inlineStr">
        <is>
          <t>es</t>
        </is>
      </c>
      <c r="I58" s="3" t="inlineStr"/>
      <c r="J58" s="3" t="n">
        <v>98</v>
      </c>
      <c r="K58" s="5" t="inlineStr">
        <is>
          <t>recettes nationales : 56,2 M EUR</t>
        </is>
      </c>
      <c r="L58" s="5" t="inlineStr"/>
      <c r="M58" s="6" t="inlineStr">
        <is>
          <t>https://en.wikipedia.org/wiki/List_of_highest-grossing_films_in_Spain</t>
        </is>
      </c>
      <c r="N58" s="6" t="inlineStr">
        <is>
          <t>https://www.themoviedb.org/movie/236737</t>
        </is>
      </c>
      <c r="O58" s="5" t="inlineStr">
        <is>
          <t>Ocho apellidos catalanes (2015), 36,1 M EUR</t>
        </is>
      </c>
      <c r="P58" s="5" t="inlineStr">
        <is>
          <t>El hoyo (2019, 8090 votes)</t>
        </is>
      </c>
      <c r="Q58" s="5" t="inlineStr">
        <is>
          <t>Klaus (2019)</t>
        </is>
      </c>
      <c r="R58" s="5" t="inlineStr"/>
      <c r="S58" s="5" t="inlineStr">
        <is>
          <t>Recettes, pas d'entrées dans la source. Lo imposible (2012, 42,4 M EUR) écarté car anglophone.</t>
        </is>
      </c>
    </row>
    <row r="59">
      <c r="A59" s="3" t="inlineStr">
        <is>
          <t>Estonie</t>
        </is>
      </c>
      <c r="B59" s="3" t="inlineStr">
        <is>
          <t>Europe</t>
        </is>
      </c>
      <c r="C59" s="4" t="inlineStr">
        <is>
          <t>B</t>
        </is>
      </c>
      <c r="D59" s="3" t="inlineStr">
        <is>
          <t>moyenne</t>
        </is>
      </c>
      <c r="E59" s="3" t="inlineStr">
        <is>
          <t>Mandariinid</t>
        </is>
      </c>
      <c r="F59" s="3" t="inlineStr">
        <is>
          <t>Mandarines</t>
        </is>
      </c>
      <c r="G59" s="3" t="inlineStr">
        <is>
          <t>2013</t>
        </is>
      </c>
      <c r="H59" s="3" t="inlineStr">
        <is>
          <t>et</t>
        </is>
      </c>
      <c r="I59" s="3" t="inlineStr"/>
      <c r="J59" s="3" t="n">
        <v>87</v>
      </c>
      <c r="K59" s="5" t="inlineStr">
        <is>
          <t>popularité TMDB : 629 votes</t>
        </is>
      </c>
      <c r="L59" s="5" t="inlineStr">
        <is>
          <t>abonnement : Molotov TV ; gratuit pub : Rakuten TV, Plex, Plex Channel ; location : YouTube, Rakuten TV, Amazon Video ; achat : YouTube, Rakuten TV, Canal VOD, Amazon Video</t>
        </is>
      </c>
      <c r="M59" s="6" t="inlineStr">
        <is>
          <t>https://www.themoviedb.org/movie/238628</t>
        </is>
      </c>
      <c r="N59" s="6" t="inlineStr">
        <is>
          <t>https://www.themoviedb.org/movie/238628</t>
        </is>
      </c>
      <c r="O59" s="5" t="inlineStr"/>
      <c r="P59" s="5" t="inlineStr">
        <is>
          <t>Mandariinid (2013, 629 votes)</t>
        </is>
      </c>
      <c r="Q59" s="5" t="inlineStr">
        <is>
          <t>Spring (1970)</t>
        </is>
      </c>
      <c r="R59" s="5" t="inlineStr"/>
      <c r="S59" s="5" t="inlineStr">
        <is>
          <t>Pas de classement post-indépendance trouvé. Viimne reliikvia (1969, Tallinnfilm) a fait 44,9 M d'entrées dans toute l'URSS, pas en Estonie seule. / Pas de classement post-indépendance trouvé.</t>
        </is>
      </c>
    </row>
    <row r="60">
      <c r="A60" s="3" t="inlineStr">
        <is>
          <t>Eswatini</t>
        </is>
      </c>
      <c r="B60" s="3" t="inlineStr">
        <is>
          <t>Afrique</t>
        </is>
      </c>
      <c r="C60" s="9" t="inlineStr">
        <is>
          <t>C</t>
        </is>
      </c>
      <c r="D60" s="3" t="inlineStr">
        <is>
          <t>faible (choix éditorial, pas d'audience)</t>
        </is>
      </c>
      <c r="E60" s="3" t="inlineStr">
        <is>
          <t>Umshana</t>
        </is>
      </c>
      <c r="F60" s="3" t="inlineStr">
        <is>
          <t>Umshana</t>
        </is>
      </c>
      <c r="G60" s="3" t="inlineStr">
        <is>
          <t>2015</t>
        </is>
      </c>
      <c r="H60" s="3" t="inlineStr">
        <is>
          <t>ss</t>
        </is>
      </c>
      <c r="I60" s="3" t="inlineStr"/>
      <c r="J60" s="3" t="n">
        <v>51</v>
      </c>
      <c r="K60" s="5" t="inlineStr">
        <is>
          <t>choix « native » de Films Around the World</t>
        </is>
      </c>
      <c r="L60" s="5" t="inlineStr"/>
      <c r="M60" s="6" t="inlineStr">
        <is>
          <t>https://filmsaroundthe.world/country/swaziland/films/umshana-f5fe397ff4b2cbc4d/</t>
        </is>
      </c>
      <c r="N60" s="6" t="inlineStr">
        <is>
          <t>https://www.themoviedb.org/movie/471232</t>
        </is>
      </c>
      <c r="O60" s="5" t="inlineStr"/>
      <c r="P60" s="5" t="inlineStr">
        <is>
          <t>Wah-Wah (2005, 40 votes)</t>
        </is>
      </c>
      <c r="Q60" s="5" t="inlineStr">
        <is>
          <t>Umshana (2015)</t>
        </is>
      </c>
      <c r="R60" s="5" t="inlineStr"/>
      <c r="S60" s="5" t="inlineStr">
        <is>
          <t>pas de box-office national suivi ou publié trouvé</t>
        </is>
      </c>
    </row>
    <row r="61">
      <c r="A61" s="3" t="inlineStr">
        <is>
          <t>États-Unis</t>
        </is>
      </c>
      <c r="B61" s="3" t="inlineStr">
        <is>
          <t>Amériques</t>
        </is>
      </c>
      <c r="C61" s="7" t="inlineStr">
        <is>
          <t>A</t>
        </is>
      </c>
      <c r="D61" s="3" t="inlineStr">
        <is>
          <t>forte</t>
        </is>
      </c>
      <c r="E61" s="3" t="inlineStr">
        <is>
          <t>Gone with the Wind</t>
        </is>
      </c>
      <c r="F61" s="3" t="inlineStr">
        <is>
          <t>Autant en emporte le vent</t>
        </is>
      </c>
      <c r="G61" s="3" t="inlineStr">
        <is>
          <t>1939</t>
        </is>
      </c>
      <c r="H61" s="3" t="inlineStr">
        <is>
          <t>en</t>
        </is>
      </c>
      <c r="I61" s="3" t="inlineStr"/>
      <c r="J61" s="3" t="n">
        <v>233</v>
      </c>
      <c r="K61" s="5" t="inlineStr">
        <is>
          <t>entrées : &gt; 200 000 000 (estimation, États-Unis et Canada, toutes ressorties)</t>
        </is>
      </c>
      <c r="L61" s="5" t="inlineStr">
        <is>
          <t>location : Apple TV Store, Orange VOD, YouTube, Rakuten TV ; achat : Apple TV Store, Orange VOD, YouTube, Rakuten TV</t>
        </is>
      </c>
      <c r="M61" s="6" t="inlineStr">
        <is>
          <t>https://en.wikipedia.org/wiki/Gone_with_the_Wind_(film)</t>
        </is>
      </c>
      <c r="N61" s="6" t="inlineStr">
        <is>
          <t>https://www.themoviedb.org/movie/770</t>
        </is>
      </c>
      <c r="O61" s="5" t="inlineStr">
        <is>
          <t>non vérifié</t>
        </is>
      </c>
      <c r="P61" s="5" t="inlineStr">
        <is>
          <t>The Avengers (2012, 40120 votes)</t>
        </is>
      </c>
      <c r="Q61" s="5" t="inlineStr">
        <is>
          <t>The Godfather (1972)</t>
        </is>
      </c>
      <c r="R61" s="5" t="inlineStr"/>
      <c r="S61" s="5" t="inlineStr">
        <is>
          <t>Entrées estimées, pas un décompte officiel. Marché États-Unis + Canada confondus. Classement Box Office Mojo ajusté de l'inflation non lu (page vide à la récupération), donc 2e film non relevé.</t>
        </is>
      </c>
    </row>
    <row r="62">
      <c r="A62" s="3" t="inlineStr">
        <is>
          <t>Éthiopie</t>
        </is>
      </c>
      <c r="B62" s="3" t="inlineStr">
        <is>
          <t>Afrique</t>
        </is>
      </c>
      <c r="C62" s="4" t="inlineStr">
        <is>
          <t>B</t>
        </is>
      </c>
      <c r="D62" s="3" t="inlineStr">
        <is>
          <t>moyenne</t>
        </is>
      </c>
      <c r="E62" s="3" t="inlineStr">
        <is>
          <t>Difret</t>
        </is>
      </c>
      <c r="F62" s="3" t="inlineStr">
        <is>
          <t>Difret</t>
        </is>
      </c>
      <c r="G62" s="3" t="inlineStr">
        <is>
          <t>2014</t>
        </is>
      </c>
      <c r="H62" s="3" t="inlineStr">
        <is>
          <t>am</t>
        </is>
      </c>
      <c r="I62" s="3" t="inlineStr"/>
      <c r="J62" s="3" t="n">
        <v>99</v>
      </c>
      <c r="K62" s="5" t="inlineStr">
        <is>
          <t>popularité TMDB : 62 votes</t>
        </is>
      </c>
      <c r="L62" s="5" t="inlineStr">
        <is>
          <t>location : Apple TV Store, Orange VOD, YouTube, Sooner ; achat : Apple TV Store, Orange VOD, YouTube, Sooner</t>
        </is>
      </c>
      <c r="M62" s="6" t="inlineStr">
        <is>
          <t>https://www.themoviedb.org/movie/245855</t>
        </is>
      </c>
      <c r="N62" s="6" t="inlineStr">
        <is>
          <t>https://www.themoviedb.org/movie/245855</t>
        </is>
      </c>
      <c r="O62" s="5" t="inlineStr"/>
      <c r="P62" s="5" t="inlineStr">
        <is>
          <t>Difret (2014, 62 votes)</t>
        </is>
      </c>
      <c r="Q62" s="5" t="inlineStr">
        <is>
          <t>Teza (2008)</t>
        </is>
      </c>
      <c r="R62" s="5" t="inlineStr">
        <is>
          <t>{"title": "Abay vs. Vegas (Abay woys Vegas)", "views": null, "url": "https://www.youtube.com/watch?v=auxKEo4lKwM", "note": "Plusieurs mises en ligne sur YouTube ; ~974K vues affichées à proximité dans la recherche mais attribution à ce film non confirmée."}</t>
        </is>
      </c>
      <c r="S62" s="5" t="inlineStr">
        <is>
          <t>Pas de box-office publié. Theodros Teshome Kebede a produit « deux des films éthiopiens les plus rentables de tous les temps » : Abay vs. Vegas (2010) et Kezkaza Welafegn (PAFF), sans chiffres ni classement entre eux. Lamb (2015) est un film de festival, pas un succès local documenté. / pas de box-office national suivi ou publié trouvé</t>
        </is>
      </c>
    </row>
    <row r="63">
      <c r="A63" s="3" t="inlineStr">
        <is>
          <t>Fidji</t>
        </is>
      </c>
      <c r="B63" s="3" t="inlineStr">
        <is>
          <t>Océanie</t>
        </is>
      </c>
      <c r="C63" s="9" t="inlineStr">
        <is>
          <t>C</t>
        </is>
      </c>
      <c r="D63" s="3" t="inlineStr">
        <is>
          <t>faible (choix éditorial, pas d'audience)</t>
        </is>
      </c>
      <c r="E63" s="3" t="inlineStr">
        <is>
          <t>Pear ta ma 'on maf</t>
        </is>
      </c>
      <c r="F63" s="3" t="inlineStr">
        <is>
          <t>Pear ta ma 'on maf</t>
        </is>
      </c>
      <c r="G63" s="3" t="inlineStr">
        <is>
          <t>2004</t>
        </is>
      </c>
      <c r="H63" s="3" t="inlineStr">
        <is>
          <t>en</t>
        </is>
      </c>
      <c r="I63" s="3" t="inlineStr"/>
      <c r="J63" s="3" t="n">
        <v>87</v>
      </c>
      <c r="K63" s="5" t="inlineStr">
        <is>
          <t>choix « native » de Films Around the World</t>
        </is>
      </c>
      <c r="L63" s="5" t="inlineStr"/>
      <c r="M63" s="6" t="inlineStr">
        <is>
          <t>https://filmsaroundthe.world/country/fiji/films/the-land-has-eyes-fd23656786d5f9c40/</t>
        </is>
      </c>
      <c r="N63" s="6" t="inlineStr">
        <is>
          <t>https://www.themoviedb.org/movie/97107</t>
        </is>
      </c>
      <c r="O63" s="5" t="inlineStr"/>
      <c r="P63" s="5" t="inlineStr">
        <is>
          <t>Bula Quo! (2013, 13 votes)</t>
        </is>
      </c>
      <c r="Q63" s="5" t="inlineStr">
        <is>
          <t>The Land Has Eyes (2004)</t>
        </is>
      </c>
      <c r="R63" s="5" t="inlineStr"/>
      <c r="S63" s="5" t="inlineStr">
        <is>
          <t>No sourced box office data.</t>
        </is>
      </c>
    </row>
    <row r="64">
      <c r="A64" s="3" t="inlineStr">
        <is>
          <t>Finlande</t>
        </is>
      </c>
      <c r="B64" s="3" t="inlineStr">
        <is>
          <t>Europe</t>
        </is>
      </c>
      <c r="C64" s="7" t="inlineStr">
        <is>
          <t>A</t>
        </is>
      </c>
      <c r="D64" s="3" t="inlineStr">
        <is>
          <t>forte</t>
        </is>
      </c>
      <c r="E64" s="3" t="inlineStr">
        <is>
          <t>Tuntematon sotilas</t>
        </is>
      </c>
      <c r="F64" s="3" t="inlineStr">
        <is>
          <t>Soldats inconnus</t>
        </is>
      </c>
      <c r="G64" s="3" t="inlineStr">
        <is>
          <t>1955</t>
        </is>
      </c>
      <c r="H64" s="3" t="inlineStr">
        <is>
          <t>fi</t>
        </is>
      </c>
      <c r="I64" s="3" t="inlineStr"/>
      <c r="J64" s="3" t="n">
        <v>181</v>
      </c>
      <c r="K64" s="5" t="inlineStr">
        <is>
          <t>entrées : 2800000</t>
        </is>
      </c>
      <c r="L64" s="5" t="inlineStr"/>
      <c r="M64" s="6" t="inlineStr">
        <is>
          <t>https://fi.wikipedia.org/wiki/Luettelo_Suomen_katsotuimmista_elokuvista</t>
        </is>
      </c>
      <c r="N64" s="6" t="inlineStr">
        <is>
          <t>https://www.themoviedb.org/movie/36439</t>
        </is>
      </c>
      <c r="O64" s="5" t="inlineStr">
        <is>
          <t>Kulkurin valssi (1941), 1500000</t>
        </is>
      </c>
      <c r="P64" s="5" t="inlineStr">
        <is>
          <t>Sisu (2022, 3019 votes)</t>
        </is>
      </c>
      <c r="Q64" s="5" t="inlineStr">
        <is>
          <t>Sisu (2022)</t>
        </is>
      </c>
      <c r="R64" s="5" t="inlineStr"/>
      <c r="S64" s="5" t="inlineStr">
        <is>
          <t>Chiffre arrondi dans la source.</t>
        </is>
      </c>
    </row>
    <row r="65">
      <c r="A65" s="3" t="inlineStr">
        <is>
          <t>France</t>
        </is>
      </c>
      <c r="B65" s="3" t="inlineStr">
        <is>
          <t>Europe</t>
        </is>
      </c>
      <c r="C65" s="7" t="inlineStr">
        <is>
          <t>A</t>
        </is>
      </c>
      <c r="D65" s="3" t="inlineStr">
        <is>
          <t>forte</t>
        </is>
      </c>
      <c r="E65" s="3" t="inlineStr">
        <is>
          <t>Bienvenue chez les Ch'tis</t>
        </is>
      </c>
      <c r="F65" s="3" t="inlineStr">
        <is>
          <t>Bienvenue chez les Ch'tis</t>
        </is>
      </c>
      <c r="G65" s="3" t="inlineStr">
        <is>
          <t>2008</t>
        </is>
      </c>
      <c r="H65" s="3" t="inlineStr">
        <is>
          <t>fr</t>
        </is>
      </c>
      <c r="I65" s="3" t="inlineStr"/>
      <c r="J65" s="3" t="n">
        <v>107</v>
      </c>
      <c r="K65" s="5" t="inlineStr">
        <is>
          <t>entrées : 20489303</t>
        </is>
      </c>
      <c r="L65" s="5" t="inlineStr">
        <is>
          <t>location : Apple TV Store, Orange VOD, Rakuten TV, Canal VOD ; achat : Apple TV Store, Orange VOD, Rakuten TV, Canal VOD</t>
        </is>
      </c>
      <c r="M65" s="6" t="inlineStr">
        <is>
          <t>https://en.wikipedia.org/wiki/List_of_highest-grossing_films_in_France</t>
        </is>
      </c>
      <c r="N65" s="6" t="inlineStr">
        <is>
          <t>https://www.themoviedb.org/movie/8265</t>
        </is>
      </c>
      <c r="O65" s="5" t="inlineStr">
        <is>
          <t>Intouchables (2011), 19490688</t>
        </is>
      </c>
      <c r="P65" s="5" t="inlineStr">
        <is>
          <t>Intouchables (2011, 18969 votes)</t>
        </is>
      </c>
      <c r="Q65" s="5" t="inlineStr">
        <is>
          <t>The Rules of the Game (1939)</t>
        </is>
      </c>
      <c r="R65" s="5" t="inlineStr"/>
      <c r="S65" s="5" t="inlineStr">
        <is>
          <t>Titanic (US) est devant, écarté.</t>
        </is>
      </c>
    </row>
    <row r="66">
      <c r="A66" s="3" t="inlineStr">
        <is>
          <t>Gabon</t>
        </is>
      </c>
      <c r="B66" s="3" t="inlineStr">
        <is>
          <t>Afrique</t>
        </is>
      </c>
      <c r="C66" s="9" t="inlineStr">
        <is>
          <t>C</t>
        </is>
      </c>
      <c r="D66" s="3" t="inlineStr">
        <is>
          <t>faible (choix éditorial, pas d'audience)</t>
        </is>
      </c>
      <c r="E66" s="3" t="inlineStr">
        <is>
          <t>Dôlè</t>
        </is>
      </c>
      <c r="F66" s="3" t="inlineStr">
        <is>
          <t>Dôlè</t>
        </is>
      </c>
      <c r="G66" s="3" t="inlineStr">
        <is>
          <t>2000</t>
        </is>
      </c>
      <c r="H66" s="3" t="inlineStr">
        <is>
          <t>fr</t>
        </is>
      </c>
      <c r="I66" s="3" t="inlineStr"/>
      <c r="J66" s="3" t="n">
        <v>88</v>
      </c>
      <c r="K66" s="5" t="inlineStr">
        <is>
          <t>choix « native » de Films Around the World</t>
        </is>
      </c>
      <c r="L66" s="5" t="inlineStr"/>
      <c r="M66" s="6" t="inlineStr">
        <is>
          <t>https://filmsaroundthe.world/country/gabon/films/dole-fba1f512c5c2e60e3/</t>
        </is>
      </c>
      <c r="N66" s="6" t="inlineStr">
        <is>
          <t>https://www.themoviedb.org/movie/302057</t>
        </is>
      </c>
      <c r="O66" s="5" t="inlineStr"/>
      <c r="P66" s="5" t="inlineStr">
        <is>
          <t>Dôlè (2000, 8 votes)</t>
        </is>
      </c>
      <c r="Q66" s="5" t="inlineStr">
        <is>
          <t>Dôlè (2000)</t>
        </is>
      </c>
      <c r="R66" s="5" t="inlineStr"/>
      <c r="S66" s="5" t="inlineStr">
        <is>
          <t>pas de box-office national suivi ou publié trouvé</t>
        </is>
      </c>
    </row>
    <row r="67">
      <c r="A67" s="3" t="inlineStr">
        <is>
          <t>Gambie</t>
        </is>
      </c>
      <c r="B67" s="3" t="inlineStr">
        <is>
          <t>Afrique</t>
        </is>
      </c>
      <c r="C67" s="9" t="inlineStr">
        <is>
          <t>C</t>
        </is>
      </c>
      <c r="D67" s="3" t="inlineStr">
        <is>
          <t>faible (choix éditorial, pas d'audience)</t>
        </is>
      </c>
      <c r="E67" s="3" t="inlineStr">
        <is>
          <t>The Hand of Fate</t>
        </is>
      </c>
      <c r="F67" s="3" t="inlineStr">
        <is>
          <t>The Hand of Fate</t>
        </is>
      </c>
      <c r="G67" s="3" t="inlineStr">
        <is>
          <t>2013</t>
        </is>
      </c>
      <c r="H67" s="3" t="inlineStr">
        <is>
          <t>yo</t>
        </is>
      </c>
      <c r="I67" s="3" t="inlineStr"/>
      <c r="J67" s="3" t="n">
        <v>98</v>
      </c>
      <c r="K67" s="5" t="inlineStr">
        <is>
          <t>choix « native » de Films Around the World</t>
        </is>
      </c>
      <c r="L67" s="5" t="inlineStr"/>
      <c r="M67" s="6" t="inlineStr">
        <is>
          <t>https://filmsaroundthe.world/country/gambia/films/hand-of-fate-fda370ae8556f8367/</t>
        </is>
      </c>
      <c r="N67" s="6" t="inlineStr">
        <is>
          <t>https://www.themoviedb.org/movie/757684</t>
        </is>
      </c>
      <c r="O67" s="5" t="inlineStr"/>
      <c r="P67" s="5" t="inlineStr">
        <is>
          <t>The Back Way (2025, 0 votes)</t>
        </is>
      </c>
      <c r="Q67" s="5" t="inlineStr">
        <is>
          <t>Hand of Fate (2013)</t>
        </is>
      </c>
      <c r="R67" s="5" t="inlineStr"/>
      <c r="S67" s="5" t="inlineStr">
        <is>
          <t>pas de box-office national suivi ou publié trouvé</t>
        </is>
      </c>
    </row>
    <row r="68">
      <c r="A68" s="3" t="inlineStr">
        <is>
          <t>Géorgie</t>
        </is>
      </c>
      <c r="B68" s="3" t="inlineStr">
        <is>
          <t>Asie</t>
        </is>
      </c>
      <c r="C68" s="4" t="inlineStr">
        <is>
          <t>B</t>
        </is>
      </c>
      <c r="D68" s="3" t="inlineStr">
        <is>
          <t>moyenne</t>
        </is>
      </c>
      <c r="E68" s="3" t="inlineStr">
        <is>
          <t>რას ვხედავთ, როდესაც ცას ვუყურებთ?</t>
        </is>
      </c>
      <c r="F68" s="3" t="inlineStr">
        <is>
          <t>Sous le ciel de Koutaïssi</t>
        </is>
      </c>
      <c r="G68" s="3" t="inlineStr">
        <is>
          <t>2021</t>
        </is>
      </c>
      <c r="H68" s="3" t="inlineStr">
        <is>
          <t>ka</t>
        </is>
      </c>
      <c r="I68" s="3" t="inlineStr"/>
      <c r="J68" s="3" t="n">
        <v>150</v>
      </c>
      <c r="K68" s="5" t="inlineStr">
        <is>
          <t>popularité TMDB : 70 votes</t>
        </is>
      </c>
      <c r="L68" s="5" t="inlineStr">
        <is>
          <t>location : Apple TV Store, Orange VOD, Canal VOD, Sooner ; achat : Apple TV Store, Orange VOD, Canal VOD, Sooner</t>
        </is>
      </c>
      <c r="M68" s="6" t="inlineStr">
        <is>
          <t>https://www.themoviedb.org/movie/795815</t>
        </is>
      </c>
      <c r="N68" s="6" t="inlineStr">
        <is>
          <t>https://www.themoviedb.org/movie/795815</t>
        </is>
      </c>
      <c r="O68" s="5" t="inlineStr"/>
      <c r="P68" s="5" t="inlineStr">
        <is>
          <t>რას ვხედავთ, როდესაც ცას ვუყურებთ? (2021, 70 votes)</t>
        </is>
      </c>
      <c r="Q68" s="5" t="inlineStr">
        <is>
          <t>Repentance (1987)</t>
        </is>
      </c>
      <c r="R68" s="5" t="inlineStr"/>
      <c r="S68" s="5" t="inlineStr">
        <is>
          <t>Pas de donnée sourcée (aucun classement trouvé). / Only a 2019 record found (Shindisi, 23,722 admissions); 2022-2025 data missing, a later film may exceed it.</t>
        </is>
      </c>
    </row>
    <row r="69">
      <c r="A69" s="3" t="inlineStr">
        <is>
          <t>Ghana</t>
        </is>
      </c>
      <c r="B69" s="3" t="inlineStr">
        <is>
          <t>Afrique</t>
        </is>
      </c>
      <c r="C69" s="9" t="inlineStr">
        <is>
          <t>C</t>
        </is>
      </c>
      <c r="D69" s="3" t="inlineStr">
        <is>
          <t>faible (choix éditorial, pas d'audience)</t>
        </is>
      </c>
      <c r="E69" s="3" t="inlineStr">
        <is>
          <t>Love Brewed in the African Pot</t>
        </is>
      </c>
      <c r="F69" s="3" t="inlineStr">
        <is>
          <t>Love Brewed in the African Pot</t>
        </is>
      </c>
      <c r="G69" s="3" t="inlineStr">
        <is>
          <t>1980</t>
        </is>
      </c>
      <c r="H69" s="3" t="inlineStr">
        <is>
          <t>en</t>
        </is>
      </c>
      <c r="I69" s="3" t="inlineStr"/>
      <c r="J69" s="3" t="n">
        <v>118</v>
      </c>
      <c r="K69" s="5" t="inlineStr">
        <is>
          <t>choix « native » de Films Around the World</t>
        </is>
      </c>
      <c r="L69" s="5" t="inlineStr"/>
      <c r="M69" s="6" t="inlineStr">
        <is>
          <t>https://filmsaroundthe.world/country/ghana/films/love-brewed-in-the-african-pot-f5548f65a585f8708/</t>
        </is>
      </c>
      <c r="N69" s="6" t="inlineStr">
        <is>
          <t>https://www.themoviedb.org/movie/271440</t>
        </is>
      </c>
      <c r="O69" s="5" t="inlineStr"/>
      <c r="P69" s="5" t="inlineStr">
        <is>
          <t>The Burial of Kojo (2018, 27 votes)</t>
        </is>
      </c>
      <c r="Q69" s="5" t="inlineStr">
        <is>
          <t>Love Brewed in the African Pot (1980)</t>
        </is>
      </c>
      <c r="R69" s="5" t="inlineStr">
        <is>
          <t>{"title": null, "views": null, "url": null, "note": "Non trouvé de façon fiable."}</t>
        </is>
      </c>
      <c r="S69" s="5" t="inlineStr">
        <is>
          <t>Pas de box-office local suivi (Box Office Mojo ne liste que des films étrangers). Industrie vidéo (Kumawood, Ghallywood) hors salles. Aucun film national vu en salles documenté. / Pas de box-office suivi trouvé.</t>
        </is>
      </c>
    </row>
    <row r="70">
      <c r="A70" s="3" t="inlineStr">
        <is>
          <t>Grèce</t>
        </is>
      </c>
      <c r="B70" s="3" t="inlineStr">
        <is>
          <t>Europe</t>
        </is>
      </c>
      <c r="C70" s="7" t="inlineStr">
        <is>
          <t>A</t>
        </is>
      </c>
      <c r="D70" s="3" t="inlineStr">
        <is>
          <t>forte</t>
        </is>
      </c>
      <c r="E70" s="3" t="inlineStr">
        <is>
          <t>Πολίτικη κουζίνα</t>
        </is>
      </c>
      <c r="F70" s="3" t="inlineStr">
        <is>
          <t>Un ciel épicé</t>
        </is>
      </c>
      <c r="G70" s="3" t="inlineStr">
        <is>
          <t>2003</t>
        </is>
      </c>
      <c r="H70" s="3" t="inlineStr">
        <is>
          <t>el</t>
        </is>
      </c>
      <c r="I70" s="3" t="inlineStr"/>
      <c r="J70" s="3" t="n">
        <v>108</v>
      </c>
      <c r="K70" s="5" t="inlineStr">
        <is>
          <t>entrées : 1 300 000</t>
        </is>
      </c>
      <c r="L70" s="5" t="inlineStr"/>
      <c r="M70" s="6" t="inlineStr">
        <is>
          <t>https://en.wikipedia.org/wiki/List_of_highest-grossing_Greek_films</t>
        </is>
      </c>
      <c r="N70" s="6" t="inlineStr">
        <is>
          <t>https://www.themoviedb.org/movie/12497</t>
        </is>
      </c>
      <c r="O70" s="5" t="inlineStr">
        <is>
          <t>Loafing and Camouflage: Sirens in the Aegean (2005, 1 230 512)</t>
        </is>
      </c>
      <c r="P70" s="5" t="inlineStr">
        <is>
          <t>Κυνόδοντας (2009, 2718 votes)</t>
        </is>
      </c>
      <c r="Q70" s="5" t="inlineStr">
        <is>
          <t>The Travelling Players (1975)</t>
        </is>
      </c>
      <c r="R70" s="5" t="inlineStr"/>
      <c r="S70" s="5" t="inlineStr">
        <is>
          <t>Selon les sources, entre 1 277 902 et 1 600 000 entrées ; reste 1er dans tous les cas. Safe Sex (1999) et El Greco (2007) tournent autour de 1,2 M.</t>
        </is>
      </c>
    </row>
    <row r="71">
      <c r="A71" s="3" t="inlineStr">
        <is>
          <t>Grenade</t>
        </is>
      </c>
      <c r="B71" s="3" t="inlineStr">
        <is>
          <t>Amériques</t>
        </is>
      </c>
      <c r="C71" s="9" t="inlineStr">
        <is>
          <t>C</t>
        </is>
      </c>
      <c r="D71" s="3" t="inlineStr">
        <is>
          <t>faible (choix éditorial, pas d'audience)</t>
        </is>
      </c>
      <c r="E71" s="3" t="inlineStr">
        <is>
          <t>Blinded</t>
        </is>
      </c>
      <c r="F71" s="3" t="inlineStr">
        <is>
          <t>Blinded</t>
        </is>
      </c>
      <c r="G71" s="3" t="inlineStr">
        <is>
          <t>2006</t>
        </is>
      </c>
      <c r="H71" s="3" t="inlineStr">
        <is>
          <t>en</t>
        </is>
      </c>
      <c r="I71" s="3" t="inlineStr"/>
      <c r="J71" s="3" t="n">
        <v>80</v>
      </c>
      <c r="K71" s="5" t="inlineStr">
        <is>
          <t>choix « native » de Films Around the World</t>
        </is>
      </c>
      <c r="L71" s="5" t="inlineStr"/>
      <c r="M71" s="6" t="inlineStr">
        <is>
          <t>https://filmsaroundthe.world/country/grenada/films/blinded-f99e1c495c64f795e/</t>
        </is>
      </c>
      <c r="N71" s="6" t="inlineStr">
        <is>
          <t>https://www.themoviedb.org/movie/276458</t>
        </is>
      </c>
      <c r="O71" s="5" t="inlineStr"/>
      <c r="P71" s="5" t="inlineStr">
        <is>
          <t>Bottleneck (2014, 2 votes)</t>
        </is>
      </c>
      <c r="Q71" s="5" t="inlineStr">
        <is>
          <t>Blinded (2006)</t>
        </is>
      </c>
      <c r="R71" s="5" t="inlineStr"/>
      <c r="S71" s="5" t="inlineStr">
        <is>
          <t>Affiche absente de TMDB, reprise de Films Around the World. Aucune donnée sourcée trouvée dans cette passe</t>
        </is>
      </c>
    </row>
    <row r="72">
      <c r="A72" s="3" t="inlineStr">
        <is>
          <t>Guatemala</t>
        </is>
      </c>
      <c r="B72" s="3" t="inlineStr">
        <is>
          <t>Amériques</t>
        </is>
      </c>
      <c r="C72" s="4" t="inlineStr">
        <is>
          <t>B</t>
        </is>
      </c>
      <c r="D72" s="3" t="inlineStr">
        <is>
          <t>moyenne</t>
        </is>
      </c>
      <c r="E72" s="3" t="inlineStr">
        <is>
          <t>La Llorona</t>
        </is>
      </c>
      <c r="F72" s="3" t="inlineStr">
        <is>
          <t>La Llorona</t>
        </is>
      </c>
      <c r="G72" s="3" t="inlineStr">
        <is>
          <t>2019</t>
        </is>
      </c>
      <c r="H72" s="3" t="inlineStr">
        <is>
          <t>es</t>
        </is>
      </c>
      <c r="I72" s="3" t="inlineStr"/>
      <c r="J72" s="3" t="n">
        <v>92</v>
      </c>
      <c r="K72" s="5" t="inlineStr">
        <is>
          <t>popularité TMDB : 387 votes</t>
        </is>
      </c>
      <c r="L72" s="5" t="inlineStr">
        <is>
          <t>location : Apple TV Store, YouTube, Sooner, Amazon Video ; achat : Apple TV Store, YouTube, Sooner, Amazon Video</t>
        </is>
      </c>
      <c r="M72" s="6" t="inlineStr">
        <is>
          <t>https://www.themoviedb.org/movie/617708</t>
        </is>
      </c>
      <c r="N72" s="6" t="inlineStr">
        <is>
          <t>https://www.themoviedb.org/movie/617708</t>
        </is>
      </c>
      <c r="O72" s="5" t="inlineStr"/>
      <c r="P72" s="5" t="inlineStr">
        <is>
          <t>La Llorona (2019, 387 votes)</t>
        </is>
      </c>
      <c r="Q72" s="5" t="inlineStr">
        <is>
          <t>Ixcanul (2015)</t>
        </is>
      </c>
      <c r="R72" s="5" t="inlineStr"/>
      <c r="S72" s="5" t="inlineStr">
        <is>
          <t>Aucun classement historique trouvé. / Aucune donnée sourcée trouvée dans cette passe</t>
        </is>
      </c>
    </row>
    <row r="73">
      <c r="A73" s="3" t="inlineStr">
        <is>
          <t>Guinée</t>
        </is>
      </c>
      <c r="B73" s="3" t="inlineStr">
        <is>
          <t>Afrique</t>
        </is>
      </c>
      <c r="C73" s="9" t="inlineStr">
        <is>
          <t>C</t>
        </is>
      </c>
      <c r="D73" s="3" t="inlineStr">
        <is>
          <t>faible (choix éditorial, pas d'audience)</t>
        </is>
      </c>
      <c r="E73" s="3" t="inlineStr">
        <is>
          <t>L'Absence</t>
        </is>
      </c>
      <c r="F73" s="3" t="inlineStr"/>
      <c r="G73" s="3" t="inlineStr">
        <is>
          <t>2009</t>
        </is>
      </c>
      <c r="H73" s="3" t="inlineStr">
        <is>
          <t>fr</t>
        </is>
      </c>
      <c r="I73" s="3" t="inlineStr"/>
      <c r="J73" s="3" t="inlineStr"/>
      <c r="K73" s="5" t="inlineStr">
        <is>
          <t>choix « native » de Films Around the World</t>
        </is>
      </c>
      <c r="L73" s="5" t="inlineStr"/>
      <c r="M73" s="6" t="inlineStr">
        <is>
          <t>https://filmsaroundthe.world/</t>
        </is>
      </c>
      <c r="N73" s="5" t="inlineStr"/>
      <c r="O73" s="5" t="inlineStr"/>
      <c r="P73" s="5" t="inlineStr">
        <is>
          <t>Konorofili (ou anxiété) (2000, 2 votes)</t>
        </is>
      </c>
      <c r="Q73" s="5" t="inlineStr">
        <is>
          <t>L'Absence (2009)</t>
        </is>
      </c>
      <c r="R73" s="5" t="inlineStr"/>
      <c r="S73" s="5" t="inlineStr">
        <is>
          <t>Film de Mama Keïta. Pas de fiche TMDB fiable trouvée. pas de box-office national suivi ou publié trouvé</t>
        </is>
      </c>
    </row>
    <row r="74">
      <c r="A74" s="3" t="inlineStr">
        <is>
          <t>Guinée-Bissau</t>
        </is>
      </c>
      <c r="B74" s="3" t="inlineStr">
        <is>
          <t>Afrique</t>
        </is>
      </c>
      <c r="C74" s="9" t="inlineStr">
        <is>
          <t>C</t>
        </is>
      </c>
      <c r="D74" s="3" t="inlineStr">
        <is>
          <t>faible (choix éditorial, pas d'audience)</t>
        </is>
      </c>
      <c r="E74" s="3" t="inlineStr">
        <is>
          <t>Udju Azul di Yonta</t>
        </is>
      </c>
      <c r="F74" s="3" t="inlineStr">
        <is>
          <t>Udju Azul di Yonta</t>
        </is>
      </c>
      <c r="G74" s="3" t="inlineStr">
        <is>
          <t>1992</t>
        </is>
      </c>
      <c r="H74" s="3" t="inlineStr">
        <is>
          <t>pt</t>
        </is>
      </c>
      <c r="I74" s="3" t="inlineStr"/>
      <c r="J74" s="3" t="n">
        <v>90</v>
      </c>
      <c r="K74" s="5" t="inlineStr">
        <is>
          <t>choix « native » de Films Around the World</t>
        </is>
      </c>
      <c r="L74" s="5" t="inlineStr"/>
      <c r="M74" s="6" t="inlineStr">
        <is>
          <t>https://filmsaroundthe.world/country/guinea-bissau/films/the-blue-eyes-of-yonta-f76ec3b5b8039d4ec/</t>
        </is>
      </c>
      <c r="N74" s="6" t="inlineStr">
        <is>
          <t>https://www.themoviedb.org/movie/80257</t>
        </is>
      </c>
      <c r="O74" s="5" t="inlineStr"/>
      <c r="P74" s="5" t="inlineStr">
        <is>
          <t>Mortu Nega (1988, 10 votes)</t>
        </is>
      </c>
      <c r="Q74" s="5" t="inlineStr">
        <is>
          <t>The Blue Eyes of Yonta (1992)</t>
        </is>
      </c>
      <c r="R74" s="5" t="inlineStr"/>
      <c r="S74" s="5" t="inlineStr">
        <is>
          <t>pas de box-office national suivi ou publié trouvé</t>
        </is>
      </c>
    </row>
    <row r="75">
      <c r="A75" s="3" t="inlineStr">
        <is>
          <t>Guinée équatoriale</t>
        </is>
      </c>
      <c r="B75" s="3" t="inlineStr">
        <is>
          <t>Afrique</t>
        </is>
      </c>
      <c r="C75" s="9" t="inlineStr">
        <is>
          <t>C</t>
        </is>
      </c>
      <c r="D75" s="3" t="inlineStr">
        <is>
          <t>faible (choix éditorial, pas d'audience)</t>
        </is>
      </c>
      <c r="E75" s="3" t="inlineStr">
        <is>
          <t>Teresa</t>
        </is>
      </c>
      <c r="F75" s="3" t="inlineStr">
        <is>
          <t>Teresa</t>
        </is>
      </c>
      <c r="G75" s="3" t="inlineStr">
        <is>
          <t>2010</t>
        </is>
      </c>
      <c r="H75" s="3" t="inlineStr">
        <is>
          <t>es</t>
        </is>
      </c>
      <c r="I75" s="3" t="inlineStr"/>
      <c r="J75" s="3" t="n">
        <v>34</v>
      </c>
      <c r="K75" s="5" t="inlineStr">
        <is>
          <t>choix « native » de Films Around the World</t>
        </is>
      </c>
      <c r="L75" s="5" t="inlineStr"/>
      <c r="M75" s="6" t="inlineStr">
        <is>
          <t>https://filmsaroundthe.world/country/equatorial-guinea/films/teresa-fccdc5089f8e0b34a/</t>
        </is>
      </c>
      <c r="N75" s="6" t="inlineStr">
        <is>
          <t>https://www.themoviedb.org/movie/345891</t>
        </is>
      </c>
      <c r="O75" s="5" t="inlineStr"/>
      <c r="P75" s="5" t="inlineStr">
        <is>
          <t>Consecuencias (2016, 0 votes)</t>
        </is>
      </c>
      <c r="Q75" s="5" t="inlineStr">
        <is>
          <t>Teresa (2010)</t>
        </is>
      </c>
      <c r="R75" s="5" t="inlineStr"/>
      <c r="S75" s="5" t="inlineStr">
        <is>
          <t>pas de box-office national suivi ou publié trouvé</t>
        </is>
      </c>
    </row>
    <row r="76">
      <c r="A76" s="3" t="inlineStr">
        <is>
          <t>Guyana</t>
        </is>
      </c>
      <c r="B76" s="3" t="inlineStr">
        <is>
          <t>Amériques</t>
        </is>
      </c>
      <c r="C76" s="8" t="inlineStr">
        <is>
          <t>D</t>
        </is>
      </c>
      <c r="D76" s="3" t="inlineStr">
        <is>
          <t>très faible (moins de 50 votes)</t>
        </is>
      </c>
      <c r="E76" s="3" t="inlineStr">
        <is>
          <t>If Wishes Were Horses</t>
        </is>
      </c>
      <c r="F76" s="3" t="inlineStr">
        <is>
          <t>If Wishes Were Horses</t>
        </is>
      </c>
      <c r="G76" s="3" t="inlineStr">
        <is>
          <t>1976</t>
        </is>
      </c>
      <c r="H76" s="3" t="inlineStr">
        <is>
          <t>en</t>
        </is>
      </c>
      <c r="I76" s="3" t="inlineStr"/>
      <c r="J76" s="3" t="n">
        <v>126</v>
      </c>
      <c r="K76" s="5" t="inlineStr">
        <is>
          <t>popularité TMDB : 1 votes</t>
        </is>
      </c>
      <c r="L76" s="5" t="inlineStr"/>
      <c r="M76" s="6" t="inlineStr">
        <is>
          <t>https://www.themoviedb.org/movie/1372879</t>
        </is>
      </c>
      <c r="N76" s="6" t="inlineStr">
        <is>
          <t>https://www.themoviedb.org/movie/1372879</t>
        </is>
      </c>
      <c r="O76" s="5" t="inlineStr"/>
      <c r="P76" s="5" t="inlineStr">
        <is>
          <t>If Wishes Were Horses (1976, 1 votes)</t>
        </is>
      </c>
      <c r="Q76" s="5" t="inlineStr"/>
      <c r="R76" s="5" t="inlineStr"/>
      <c r="S76" s="5" t="inlineStr">
        <is>
          <t>Pas de box-office suivi. / Aucune donnée sourcée trouvée dans cette passe</t>
        </is>
      </c>
    </row>
    <row r="77">
      <c r="A77" s="3" t="inlineStr">
        <is>
          <t>Haïti</t>
        </is>
      </c>
      <c r="B77" s="3" t="inlineStr">
        <is>
          <t>Amériques</t>
        </is>
      </c>
      <c r="C77" s="9" t="inlineStr">
        <is>
          <t>C</t>
        </is>
      </c>
      <c r="D77" s="3" t="inlineStr">
        <is>
          <t>faible (choix éditorial, pas d'audience)</t>
        </is>
      </c>
      <c r="E77" s="3" t="inlineStr">
        <is>
          <t>Haitian Corner</t>
        </is>
      </c>
      <c r="F77" s="3" t="inlineStr">
        <is>
          <t>Haitian Corner</t>
        </is>
      </c>
      <c r="G77" s="3" t="inlineStr">
        <is>
          <t>1987</t>
        </is>
      </c>
      <c r="H77" s="3" t="inlineStr">
        <is>
          <t>ht</t>
        </is>
      </c>
      <c r="I77" s="3" t="inlineStr"/>
      <c r="J77" s="3" t="n">
        <v>98</v>
      </c>
      <c r="K77" s="5" t="inlineStr">
        <is>
          <t>choix « native » de Films Around the World</t>
        </is>
      </c>
      <c r="L77" s="5" t="inlineStr"/>
      <c r="M77" s="6" t="inlineStr">
        <is>
          <t>https://filmsaroundthe.world/country/haiti/films/haitian-corner-f93e81392f65f8fca/</t>
        </is>
      </c>
      <c r="N77" s="6" t="inlineStr">
        <is>
          <t>https://www.themoviedb.org/movie/344654</t>
        </is>
      </c>
      <c r="O77" s="5" t="inlineStr"/>
      <c r="P77" s="5" t="inlineStr">
        <is>
          <t>Kafou (2017, 4 votes)</t>
        </is>
      </c>
      <c r="Q77" s="5" t="inlineStr">
        <is>
          <t>Haitian Corner (1987)</t>
        </is>
      </c>
      <c r="R77" s="5" t="inlineStr"/>
      <c r="S77" s="5" t="inlineStr">
        <is>
          <t>Pas de box-office suivi. / Aucune donnée sourcée trouvée dans cette passe</t>
        </is>
      </c>
    </row>
    <row r="78">
      <c r="A78" s="3" t="inlineStr">
        <is>
          <t>Honduras</t>
        </is>
      </c>
      <c r="B78" s="3" t="inlineStr">
        <is>
          <t>Amériques</t>
        </is>
      </c>
      <c r="C78" s="7" t="inlineStr">
        <is>
          <t>A</t>
        </is>
      </c>
      <c r="D78" s="3" t="inlineStr">
        <is>
          <t>forte</t>
        </is>
      </c>
      <c r="E78" s="3" t="inlineStr">
        <is>
          <t>¿Quién paga la cuenta?</t>
        </is>
      </c>
      <c r="F78" s="3" t="inlineStr">
        <is>
          <t>¿Quién paga la cuenta?</t>
        </is>
      </c>
      <c r="G78" s="3" t="inlineStr">
        <is>
          <t>2013</t>
        </is>
      </c>
      <c r="H78" s="3" t="inlineStr">
        <is>
          <t>es</t>
        </is>
      </c>
      <c r="I78" s="3" t="inlineStr"/>
      <c r="J78" s="3" t="n">
        <v>112</v>
      </c>
      <c r="K78" s="5" t="inlineStr">
        <is>
          <t>entrées : 107 306</t>
        </is>
      </c>
      <c r="L78" s="5" t="inlineStr"/>
      <c r="M78" s="6" t="inlineStr">
        <is>
          <t>https://www.laprensa.hn/honduras/peliculas-hondurenas-taquillera-cinefilos-cine-honduras-quien-paga-la-cuenta-LCLP1166937</t>
        </is>
      </c>
      <c r="N78" s="6" t="inlineStr">
        <is>
          <t>https://www.themoviedb.org/movie/249276</t>
        </is>
      </c>
      <c r="O78" s="5" t="inlineStr">
        <is>
          <t>Una loca Navidad catracha (2014), 92 000</t>
        </is>
      </c>
      <c r="P78" s="5" t="inlineStr">
        <is>
          <t>El Regreso de La Llorona (2021, 37 votes)</t>
        </is>
      </c>
      <c r="Q78" s="5" t="inlineStr">
        <is>
          <t>Morazán (2017)</t>
        </is>
      </c>
      <c r="R78" s="5" t="inlineStr"/>
      <c r="S78" s="5" t="inlineStr"/>
    </row>
    <row r="79">
      <c r="A79" s="3" t="inlineStr">
        <is>
          <t>Hong Kong</t>
        </is>
      </c>
      <c r="B79" s="3" t="inlineStr">
        <is>
          <t>Asie</t>
        </is>
      </c>
      <c r="C79" s="7" t="inlineStr">
        <is>
          <t>A</t>
        </is>
      </c>
      <c r="D79" s="3" t="inlineStr">
        <is>
          <t>bonne</t>
        </is>
      </c>
      <c r="E79" s="3" t="inlineStr">
        <is>
          <t>破・地獄</t>
        </is>
      </c>
      <c r="F79" s="3" t="inlineStr">
        <is>
          <t>La Dernière valse</t>
        </is>
      </c>
      <c r="G79" s="3" t="inlineStr">
        <is>
          <t>2024</t>
        </is>
      </c>
      <c r="H79" s="3" t="inlineStr">
        <is>
          <t>zh</t>
        </is>
      </c>
      <c r="I79" s="3" t="inlineStr"/>
      <c r="J79" s="3" t="n">
        <v>140</v>
      </c>
      <c r="K79" s="5" t="inlineStr">
        <is>
          <t>recettes nationales : HK$157,577,964</t>
        </is>
      </c>
      <c r="L79" s="5" t="inlineStr"/>
      <c r="M79" s="6" t="inlineStr">
        <is>
          <t>https://en.wikipedia.org/wiki/List_of_highest-grossing_films_in_Hong_Kong</t>
        </is>
      </c>
      <c r="N79" s="6" t="inlineStr">
        <is>
          <t>https://www.themoviedb.org/movie/1226141</t>
        </is>
      </c>
      <c r="O79" s="5" t="inlineStr">
        <is>
          <t>A Guilty Conscience (2023, HK$115.06M)</t>
        </is>
      </c>
      <c r="P79" s="5" t="inlineStr">
        <is>
          <t>卧虎藏龍 (2000, 3757 votes)</t>
        </is>
      </c>
      <c r="Q79" s="5" t="inlineStr"/>
      <c r="R79" s="5" t="inlineStr"/>
      <c r="S79" s="5" t="inlineStr">
        <is>
          <t>Cantonese, coded zh.</t>
        </is>
      </c>
    </row>
    <row r="80">
      <c r="A80" s="3" t="inlineStr">
        <is>
          <t>Hongrie</t>
        </is>
      </c>
      <c r="B80" s="3" t="inlineStr">
        <is>
          <t>Europe</t>
        </is>
      </c>
      <c r="C80" s="7" t="inlineStr">
        <is>
          <t>A</t>
        </is>
      </c>
      <c r="D80" s="3" t="inlineStr">
        <is>
          <t>forte</t>
        </is>
      </c>
      <c r="E80" s="3" t="inlineStr">
        <is>
          <t>Hogyan éljek nélküled?</t>
        </is>
      </c>
      <c r="F80" s="3" t="inlineStr">
        <is>
          <t>Hogyan tudnék élni nélküled?</t>
        </is>
      </c>
      <c r="G80" s="3" t="inlineStr">
        <is>
          <t>2024</t>
        </is>
      </c>
      <c r="H80" s="3" t="inlineStr">
        <is>
          <t>hu</t>
        </is>
      </c>
      <c r="I80" s="3" t="inlineStr"/>
      <c r="J80" s="3" t="n">
        <v>105</v>
      </c>
      <c r="K80" s="5" t="inlineStr">
        <is>
          <t>entrées : 1083186</t>
        </is>
      </c>
      <c r="L80" s="5" t="inlineStr"/>
      <c r="M80" s="6" t="inlineStr">
        <is>
          <t>https://hu.wikipedia.org/wiki/Magyar_filmek_n%C3%A9z%C5%91sz%C3%A1m_szerinti_list%C3%A1ja</t>
        </is>
      </c>
      <c r="N80" s="6" t="inlineStr">
        <is>
          <t>https://www.themoviedb.org/movie/1283816</t>
        </is>
      </c>
      <c r="O80" s="5" t="inlineStr">
        <is>
          <t>Gone Running (2024), 739346</t>
        </is>
      </c>
      <c r="P80" s="5" t="inlineStr">
        <is>
          <t>Saul fia (2015, 1202 votes)</t>
        </is>
      </c>
      <c r="Q80" s="5" t="inlineStr">
        <is>
          <t>On Body and Soul (2017)</t>
        </is>
      </c>
      <c r="R80" s="5" t="inlineStr"/>
      <c r="S80" s="5" t="inlineStr">
        <is>
          <t>Depuis 1990 seulement. Titre original et source à revérifier.</t>
        </is>
      </c>
    </row>
    <row r="81">
      <c r="A81" s="3" t="inlineStr">
        <is>
          <t>Île Maurice</t>
        </is>
      </c>
      <c r="B81" s="3" t="inlineStr">
        <is>
          <t>Afrique</t>
        </is>
      </c>
      <c r="C81" s="4" t="inlineStr">
        <is>
          <t>B</t>
        </is>
      </c>
      <c r="D81" s="3" t="inlineStr">
        <is>
          <t>moyenne</t>
        </is>
      </c>
      <c r="E81" s="3" t="inlineStr">
        <is>
          <t>Jungle Beat: The Movie</t>
        </is>
      </c>
      <c r="F81" s="3" t="inlineStr">
        <is>
          <t>Le Rythme de la Jungle</t>
        </is>
      </c>
      <c r="G81" s="3" t="inlineStr">
        <is>
          <t>2020</t>
        </is>
      </c>
      <c r="H81" s="3" t="inlineStr">
        <is>
          <t>en</t>
        </is>
      </c>
      <c r="I81" s="3" t="inlineStr">
        <is>
          <t>oui</t>
        </is>
      </c>
      <c r="J81" s="3" t="n">
        <v>89</v>
      </c>
      <c r="K81" s="5" t="inlineStr">
        <is>
          <t>popularité TMDB : 127 votes</t>
        </is>
      </c>
      <c r="L81" s="5" t="inlineStr">
        <is>
          <t>abonnement : Netflix, Netflix Standard with Ads, SFR Play ; location : Apple TV Store, Orange VOD, YouTube, Amazon Video ; achat : Apple TV Store, Orange VOD, YouTube, Amazon Video</t>
        </is>
      </c>
      <c r="M81" s="6" t="inlineStr">
        <is>
          <t>https://www.themoviedb.org/movie/663459</t>
        </is>
      </c>
      <c r="N81" s="6" t="inlineStr">
        <is>
          <t>https://www.themoviedb.org/movie/663459</t>
        </is>
      </c>
      <c r="O81" s="5" t="inlineStr"/>
      <c r="P81" s="5" t="inlineStr">
        <is>
          <t>Jungle Beat: The Movie (2020, 127 votes)</t>
        </is>
      </c>
      <c r="Q81" s="5" t="inlineStr">
        <is>
          <t>Lonbraz Kann (2014)</t>
        </is>
      </c>
      <c r="R81" s="5" t="inlineStr"/>
      <c r="S81" s="5" t="inlineStr">
        <is>
          <t>pas de box-office national suivi ou publié trouvé</t>
        </is>
      </c>
    </row>
    <row r="82">
      <c r="A82" s="3" t="inlineStr">
        <is>
          <t>Îles du Cap-Vert</t>
        </is>
      </c>
      <c r="B82" s="3" t="inlineStr">
        <is>
          <t>Afrique</t>
        </is>
      </c>
      <c r="C82" s="9" t="inlineStr">
        <is>
          <t>C</t>
        </is>
      </c>
      <c r="D82" s="3" t="inlineStr">
        <is>
          <t>faible (choix éditorial, pas d'audience)</t>
        </is>
      </c>
      <c r="E82" s="3" t="inlineStr">
        <is>
          <t>Hanami</t>
        </is>
      </c>
      <c r="F82" s="3" t="inlineStr">
        <is>
          <t>Hanami</t>
        </is>
      </c>
      <c r="G82" s="3" t="inlineStr">
        <is>
          <t>2024</t>
        </is>
      </c>
      <c r="H82" s="3" t="inlineStr">
        <is>
          <t>pt</t>
        </is>
      </c>
      <c r="I82" s="3" t="inlineStr"/>
      <c r="J82" s="3" t="n">
        <v>96</v>
      </c>
      <c r="K82" s="5" t="inlineStr">
        <is>
          <t>choix « native » de Films Around the World</t>
        </is>
      </c>
      <c r="L82" s="5" t="inlineStr"/>
      <c r="M82" s="6" t="inlineStr">
        <is>
          <t>https://filmsaroundthe.world/country/cabo-verde/films/hanami-f0880c63a9a1e2a7f/</t>
        </is>
      </c>
      <c r="N82" s="6" t="inlineStr">
        <is>
          <t>https://www.themoviedb.org/movie/1315405</t>
        </is>
      </c>
      <c r="O82" s="5" t="inlineStr"/>
      <c r="P82" s="5" t="inlineStr">
        <is>
          <t>Hanami (2025, 9 votes)</t>
        </is>
      </c>
      <c r="Q82" s="5" t="inlineStr">
        <is>
          <t>Hanami (2024)</t>
        </is>
      </c>
      <c r="R82" s="5" t="inlineStr"/>
      <c r="S82" s="5" t="inlineStr">
        <is>
          <t>pas de box-office national suivi ou publié trouvé</t>
        </is>
      </c>
    </row>
    <row r="83">
      <c r="A83" s="3" t="inlineStr">
        <is>
          <t>Îles Marshall</t>
        </is>
      </c>
      <c r="B83" s="3" t="inlineStr">
        <is>
          <t>Océanie</t>
        </is>
      </c>
      <c r="C83" s="9" t="inlineStr">
        <is>
          <t>C</t>
        </is>
      </c>
      <c r="D83" s="3" t="inlineStr">
        <is>
          <t>faible (choix éditorial, pas d'audience)</t>
        </is>
      </c>
      <c r="E83" s="3" t="inlineStr">
        <is>
          <t>Ainikien jidjid ilo boñ</t>
        </is>
      </c>
      <c r="F83" s="3" t="inlineStr">
        <is>
          <t>Ainikien jidjid ilo boñ</t>
        </is>
      </c>
      <c r="G83" s="3" t="inlineStr">
        <is>
          <t>2012</t>
        </is>
      </c>
      <c r="H83" s="3" t="inlineStr">
        <is>
          <t>mh</t>
        </is>
      </c>
      <c r="I83" s="3" t="inlineStr"/>
      <c r="J83" s="3" t="n">
        <v>84</v>
      </c>
      <c r="K83" s="5" t="inlineStr">
        <is>
          <t>choix « native » de Films Around the World</t>
        </is>
      </c>
      <c r="L83" s="5" t="inlineStr"/>
      <c r="M83" s="6" t="inlineStr">
        <is>
          <t>https://filmsaroundthe.world/country/marshall-islands/films/the-sound-of-crickets-at-night-f4460f9847c95abe6/</t>
        </is>
      </c>
      <c r="N83" s="6" t="inlineStr">
        <is>
          <t>https://www.themoviedb.org/movie/274489</t>
        </is>
      </c>
      <c r="O83" s="5" t="inlineStr"/>
      <c r="P83" s="5" t="inlineStr">
        <is>
          <t>Ainikien jidjid ilo boñ (2012, 3 votes)</t>
        </is>
      </c>
      <c r="Q83" s="5" t="inlineStr">
        <is>
          <t>The Sound of Crickets at Night (2012)</t>
        </is>
      </c>
      <c r="R83" s="5" t="inlineStr"/>
      <c r="S83" s="5" t="inlineStr">
        <is>
          <t>Affiche absente de TMDB, reprise de Films Around the World. No sourced box office data.</t>
        </is>
      </c>
    </row>
    <row r="84">
      <c r="A84" s="3" t="inlineStr">
        <is>
          <t>Îles Salomon</t>
        </is>
      </c>
      <c r="B84" s="3" t="inlineStr">
        <is>
          <t>Océanie</t>
        </is>
      </c>
      <c r="C84" s="8" t="inlineStr">
        <is>
          <t>D</t>
        </is>
      </c>
      <c r="D84" s="3" t="inlineStr">
        <is>
          <t>très faible (moins de 50 votes)</t>
        </is>
      </c>
      <c r="E84" s="3" t="inlineStr">
        <is>
          <t>Juvenile</t>
        </is>
      </c>
      <c r="F84" s="3" t="inlineStr">
        <is>
          <t>Juvenile</t>
        </is>
      </c>
      <c r="G84" s="3" t="inlineStr">
        <is>
          <t>2020</t>
        </is>
      </c>
      <c r="H84" s="3" t="inlineStr">
        <is>
          <t>en</t>
        </is>
      </c>
      <c r="I84" s="3" t="inlineStr"/>
      <c r="J84" s="3" t="n">
        <v>85</v>
      </c>
      <c r="K84" s="5" t="inlineStr">
        <is>
          <t>popularité TMDB : 1 votes</t>
        </is>
      </c>
      <c r="L84" s="5" t="inlineStr"/>
      <c r="M84" s="6" t="inlineStr">
        <is>
          <t>https://www.themoviedb.org/movie/854228</t>
        </is>
      </c>
      <c r="N84" s="6" t="inlineStr">
        <is>
          <t>https://www.themoviedb.org/movie/854228</t>
        </is>
      </c>
      <c r="O84" s="5" t="inlineStr"/>
      <c r="P84" s="5" t="inlineStr">
        <is>
          <t>Juvenile (2020, 1 votes)</t>
        </is>
      </c>
      <c r="Q84" s="5" t="inlineStr"/>
      <c r="R84" s="5" t="inlineStr"/>
      <c r="S84" s="5" t="inlineStr">
        <is>
          <t>No sourced box office data.</t>
        </is>
      </c>
    </row>
    <row r="85">
      <c r="A85" s="3" t="inlineStr">
        <is>
          <t>Inde</t>
        </is>
      </c>
      <c r="B85" s="3" t="inlineStr">
        <is>
          <t>Asie</t>
        </is>
      </c>
      <c r="C85" s="7" t="inlineStr">
        <is>
          <t>A</t>
        </is>
      </c>
      <c r="D85" s="3" t="inlineStr">
        <is>
          <t>bonne</t>
        </is>
      </c>
      <c r="E85" s="3" t="inlineStr">
        <is>
          <t>పుష్ప 2: ది రూల్</t>
        </is>
      </c>
      <c r="F85" s="3" t="inlineStr">
        <is>
          <t>Pushpa: The Rule - Part 2</t>
        </is>
      </c>
      <c r="G85" s="3" t="inlineStr">
        <is>
          <t>2024</t>
        </is>
      </c>
      <c r="H85" s="3" t="inlineStr">
        <is>
          <t>te</t>
        </is>
      </c>
      <c r="I85" s="3" t="inlineStr"/>
      <c r="J85" s="3" t="n">
        <v>225</v>
      </c>
      <c r="K85" s="5" t="inlineStr">
        <is>
          <t>recettes nationales : ≈₹1,234 crore net India, all languages (sacnilk); boxofficeindia: ₹1,287 Cr</t>
        </is>
      </c>
      <c r="L85" s="5" t="inlineStr">
        <is>
          <t>abonnement : Netflix, Netflix Standard with Ads</t>
        </is>
      </c>
      <c r="M85" s="6" t="inlineStr">
        <is>
          <t>https://www.sacnilk.com/entertainmenttopbar/Top_10_Indian_Movies_(India_Net_Collection)</t>
        </is>
      </c>
      <c r="N85" s="6" t="inlineStr">
        <is>
          <t>https://www.themoviedb.org/movie/857598</t>
        </is>
      </c>
      <c r="O85" s="5" t="inlineStr">
        <is>
          <t>Dhurandhar: The Revenge (Hindi, 2026, ≈₹1,149 crore; Wikipedia Hindi-only list ₹1,108.09 crore)</t>
        </is>
      </c>
      <c r="P85" s="5" t="inlineStr">
        <is>
          <t>दिलवाले दुल्हनिया ले जायेंगे (1995, 4635 votes)</t>
        </is>
      </c>
      <c r="Q85" s="5" t="inlineStr">
        <is>
          <t>3 Idiots (2009)</t>
        </is>
      </c>
      <c r="R85" s="5" t="inlineStr"/>
      <c r="S85" s="5" t="inlineStr">
        <is>
          <t>Arbitrage : l'Inde n'a pas un cinéma national unique. Pushpa 2 (télougou) est premier toutes langues confondues, version hindi doublée comprise. En hindi seul : Dhurandhar: The Revenge (2026). Ambiguous: sources conflict, and only Hindi-version tables rank Dhurandhar 2 first. Telugu film, Hindi dub included in the total. Hindi list: https://en.wikipedia.org/wiki/List_of_highest_domestic_net_collection_of_Hindi_films</t>
        </is>
      </c>
    </row>
    <row r="86">
      <c r="A86" s="3" t="inlineStr">
        <is>
          <t>Indonésie</t>
        </is>
      </c>
      <c r="B86" s="3" t="inlineStr">
        <is>
          <t>Asie</t>
        </is>
      </c>
      <c r="C86" s="7" t="inlineStr">
        <is>
          <t>A</t>
        </is>
      </c>
      <c r="D86" s="3" t="inlineStr">
        <is>
          <t>forte</t>
        </is>
      </c>
      <c r="E86" s="3" t="inlineStr">
        <is>
          <t>Agak Laen: Menyala Pantiku!</t>
        </is>
      </c>
      <c r="F86" s="3" t="inlineStr">
        <is>
          <t>Agak Laen: Menyala Pantiku!</t>
        </is>
      </c>
      <c r="G86" s="3" t="inlineStr">
        <is>
          <t>2025</t>
        </is>
      </c>
      <c r="H86" s="3" t="inlineStr">
        <is>
          <t>id</t>
        </is>
      </c>
      <c r="I86" s="3" t="inlineStr"/>
      <c r="J86" s="3" t="n">
        <v>119</v>
      </c>
      <c r="K86" s="5" t="inlineStr">
        <is>
          <t>entrées : 11,000,866</t>
        </is>
      </c>
      <c r="L86" s="5" t="inlineStr"/>
      <c r="M86" s="6" t="inlineStr">
        <is>
          <t>https://en.wikipedia.org/wiki/List_of_highest-grossing_films_in_Indonesia</t>
        </is>
      </c>
      <c r="N86" s="6" t="inlineStr">
        <is>
          <t>https://www.themoviedb.org/movie/1287571</t>
        </is>
      </c>
      <c r="O86" s="5" t="inlineStr">
        <is>
          <t>Jumbo (2025, 10,233,002, animation)</t>
        </is>
      </c>
      <c r="P86" s="5" t="inlineStr">
        <is>
          <t>Serbuan Maut (2012, 4084 votes)</t>
        </is>
      </c>
      <c r="Q86" s="5" t="inlineStr">
        <is>
          <t>The Raid (2011)</t>
        </is>
      </c>
      <c r="R86" s="5" t="inlineStr"/>
      <c r="S86" s="5" t="inlineStr"/>
    </row>
    <row r="87">
      <c r="A87" s="3" t="inlineStr">
        <is>
          <t>Irak</t>
        </is>
      </c>
      <c r="B87" s="3" t="inlineStr">
        <is>
          <t>Moyen-Orient</t>
        </is>
      </c>
      <c r="C87" s="9" t="inlineStr">
        <is>
          <t>C</t>
        </is>
      </c>
      <c r="D87" s="3" t="inlineStr">
        <is>
          <t>faible (choix éditorial, pas d'audience)</t>
        </is>
      </c>
      <c r="E87" s="3" t="inlineStr">
        <is>
          <t>The President's Cake</t>
        </is>
      </c>
      <c r="F87" s="3" t="inlineStr">
        <is>
          <t>Le Gâteau du Président</t>
        </is>
      </c>
      <c r="G87" s="3" t="inlineStr">
        <is>
          <t>2025</t>
        </is>
      </c>
      <c r="H87" s="3" t="inlineStr">
        <is>
          <t>en</t>
        </is>
      </c>
      <c r="I87" s="3" t="inlineStr"/>
      <c r="J87" s="3" t="n">
        <v>106</v>
      </c>
      <c r="K87" s="5" t="inlineStr">
        <is>
          <t>choix « native » de Films Around the World</t>
        </is>
      </c>
      <c r="L87" s="5" t="inlineStr">
        <is>
          <t>location : Apple TV Store, Rakuten TV, Canal VOD, Sooner ; achat : Apple TV Store, Rakuten TV, Canal VOD, Sooner</t>
        </is>
      </c>
      <c r="M87" s="6" t="inlineStr">
        <is>
          <t>https://filmsaroundthe.world/country/iraq/films/the-president-s-cake-fe282b2427bd0bc7e/</t>
        </is>
      </c>
      <c r="N87" s="6" t="inlineStr">
        <is>
          <t>https://www.themoviedb.org/movie/1464883</t>
        </is>
      </c>
      <c r="O87" s="5" t="inlineStr"/>
      <c r="P87" s="5" t="inlineStr">
        <is>
          <t>Bekas (2010, 12 votes)</t>
        </is>
      </c>
      <c r="Q87" s="5" t="inlineStr">
        <is>
          <t>The President's Cake (2025)</t>
        </is>
      </c>
      <c r="R87" s="5" t="inlineStr"/>
      <c r="S87" s="5" t="inlineStr">
        <is>
          <t>Pas de box-office national suivi. Aucun record documenté trouvé. / pas de box-office national suivi ou publié trouvé</t>
        </is>
      </c>
    </row>
    <row r="88">
      <c r="A88" s="3" t="inlineStr">
        <is>
          <t>Iran</t>
        </is>
      </c>
      <c r="B88" s="3" t="inlineStr">
        <is>
          <t>Moyen-Orient</t>
        </is>
      </c>
      <c r="C88" s="7" t="inlineStr">
        <is>
          <t>A</t>
        </is>
      </c>
      <c r="D88" s="3" t="inlineStr">
        <is>
          <t>forte</t>
        </is>
      </c>
      <c r="E88" s="3" t="inlineStr">
        <is>
          <t>هفتاد سی</t>
        </is>
      </c>
      <c r="F88" s="3" t="inlineStr">
        <is>
          <t>۷۰ سی</t>
        </is>
      </c>
      <c r="G88" s="3" t="inlineStr">
        <is>
          <t>2024</t>
        </is>
      </c>
      <c r="H88" s="3" t="inlineStr">
        <is>
          <t>fa</t>
        </is>
      </c>
      <c r="I88" s="3" t="inlineStr"/>
      <c r="J88" s="3" t="n">
        <v>103</v>
      </c>
      <c r="K88" s="5" t="inlineStr">
        <is>
          <t>entrées : 12.00M</t>
        </is>
      </c>
      <c r="L88" s="5" t="inlineStr"/>
      <c r="M88" s="6" t="inlineStr">
        <is>
          <t>https://en.wikipedia.org/wiki/List_of_highest-grossing_Iranian_films</t>
        </is>
      </c>
      <c r="N88" s="6" t="inlineStr">
        <is>
          <t>https://www.themoviedb.org/movie/1354498</t>
        </is>
      </c>
      <c r="O88" s="5" t="inlineStr">
        <is>
          <t>Fossil (2023) 10.81M</t>
        </is>
      </c>
      <c r="P88" s="5" t="inlineStr">
        <is>
          <t>جدایی نادر از سیمین (2011, 2050 votes)</t>
        </is>
      </c>
      <c r="Q88" s="5" t="inlineStr">
        <is>
          <t>A Separation (2011)</t>
        </is>
      </c>
      <c r="R88" s="5" t="inlineStr"/>
      <c r="S88" s="5" t="inlineStr">
        <is>
          <t>Données depuis 1985 seulement. Le texte d'intro de l'article cite Eagles (1985) 10,2 M comme film le plus vu : incohérent avec le tableau, qui donne Seventy Thirty en tête.</t>
        </is>
      </c>
    </row>
    <row r="89">
      <c r="A89" s="3" t="inlineStr">
        <is>
          <t>Irlande</t>
        </is>
      </c>
      <c r="B89" s="3" t="inlineStr">
        <is>
          <t>Europe</t>
        </is>
      </c>
      <c r="C89" s="7" t="inlineStr">
        <is>
          <t>A</t>
        </is>
      </c>
      <c r="D89" s="3" t="inlineStr">
        <is>
          <t>moyenne (record de presse, pas de total d'entrées)</t>
        </is>
      </c>
      <c r="E89" s="3" t="inlineStr">
        <is>
          <t>The Guard</t>
        </is>
      </c>
      <c r="F89" s="3" t="inlineStr">
        <is>
          <t>L'Irlandais</t>
        </is>
      </c>
      <c r="G89" s="3" t="inlineStr">
        <is>
          <t>2011</t>
        </is>
      </c>
      <c r="H89" s="3" t="inlineStr">
        <is>
          <t>en</t>
        </is>
      </c>
      <c r="I89" s="3" t="inlineStr"/>
      <c r="J89" s="3" t="n">
        <v>106</v>
      </c>
      <c r="K89" s="5" t="inlineStr">
        <is>
          <t>film indépendant irlandais le plus rentable au box-office irlandais (presse)</t>
        </is>
      </c>
      <c r="L89" s="5" t="inlineStr">
        <is>
          <t>abonnement : Amazon Prime Video, Amazon Prime Video with Ads ; location : Apple TV Store, Orange VOD, YouTube, Canal VOD ; achat : Apple TV Store, Orange VOD, YouTube, Canal VOD</t>
        </is>
      </c>
      <c r="M89" s="6" t="inlineStr">
        <is>
          <t>https://en.wikipedia.org/wiki/The_Guard_(2011_film)</t>
        </is>
      </c>
      <c r="N89" s="6" t="inlineStr">
        <is>
          <t>https://www.themoviedb.org/movie/67913</t>
        </is>
      </c>
      <c r="O89" s="5" t="inlineStr"/>
      <c r="P89" s="5" t="inlineStr">
        <is>
          <t>Reign of Fire (2002, 2577 votes)</t>
        </is>
      </c>
      <c r="Q89" s="5" t="inlineStr">
        <is>
          <t>Room (2015)</t>
        </is>
      </c>
      <c r="R89" s="5" t="inlineStr"/>
      <c r="S89" s="5" t="inlineStr">
        <is>
          <t>Arbitrage manuel : TMDB proposait Le Règne du feu (production américaine). Mrs. Brown's Boys D'Movie (2014) pourrait être plus haut, sans total domestique trouvé. Pas de total d'entrées ou de recettes irlandaises sourcé. Wikipedia donne The Guard (2011) comme film indépendant irlandais le plus rentable en Irlande, mais Mrs. Brown's Boys D'Movie (2014, record irlandais d'ouverture) est peut-être plus haut. Non tranché. / Pas de chiffre sourcé. Pistes : Mrs. Brown's Boys D'Movie, The Commitments.</t>
        </is>
      </c>
    </row>
    <row r="90">
      <c r="A90" s="3" t="inlineStr">
        <is>
          <t>Islande</t>
        </is>
      </c>
      <c r="B90" s="3" t="inlineStr">
        <is>
          <t>Europe</t>
        </is>
      </c>
      <c r="C90" s="4" t="inlineStr">
        <is>
          <t>B</t>
        </is>
      </c>
      <c r="D90" s="3" t="inlineStr">
        <is>
          <t>moyenne</t>
        </is>
      </c>
      <c r="E90" s="3" t="inlineStr">
        <is>
          <t>Dýrið</t>
        </is>
      </c>
      <c r="F90" s="3" t="inlineStr">
        <is>
          <t>Lamb</t>
        </is>
      </c>
      <c r="G90" s="3" t="inlineStr">
        <is>
          <t>2021</t>
        </is>
      </c>
      <c r="H90" s="3" t="inlineStr">
        <is>
          <t>is</t>
        </is>
      </c>
      <c r="I90" s="3" t="inlineStr"/>
      <c r="J90" s="3" t="n">
        <v>106</v>
      </c>
      <c r="K90" s="5" t="inlineStr">
        <is>
          <t>popularité TMDB : 1100 votes</t>
        </is>
      </c>
      <c r="L90" s="5" t="inlineStr">
        <is>
          <t>abonnement : Shadowz ; location : Orange VOD, YouTube, Rakuten TV, Canal VOD ; achat : Apple TV Store, Orange VOD, YouTube, Rakuten TV</t>
        </is>
      </c>
      <c r="M90" s="6" t="inlineStr">
        <is>
          <t>https://www.themoviedb.org/movie/788929</t>
        </is>
      </c>
      <c r="N90" s="6" t="inlineStr">
        <is>
          <t>https://www.themoviedb.org/movie/788929</t>
        </is>
      </c>
      <c r="O90" s="5" t="inlineStr"/>
      <c r="P90" s="5" t="inlineStr">
        <is>
          <t>Dýrið (2021, 1100 votes)</t>
        </is>
      </c>
      <c r="Q90" s="5" t="inlineStr">
        <is>
          <t>Woman at War (2018)</t>
        </is>
      </c>
      <c r="R90" s="5" t="inlineStr"/>
      <c r="S90" s="5" t="inlineStr">
        <is>
          <t>Seul Eiðurinn (2016, 47 492 entrées) trouvé, rien ne prouve qu'il soit en tête. Aucun classement sourcé. / Seul Eiðurinn (2016, 47492 entrées) trouvé, rien ne prouve qu'il soit en tête.</t>
        </is>
      </c>
    </row>
    <row r="91">
      <c r="A91" s="3" t="inlineStr">
        <is>
          <t>Israël</t>
        </is>
      </c>
      <c r="B91" s="3" t="inlineStr">
        <is>
          <t>Moyen-Orient</t>
        </is>
      </c>
      <c r="C91" s="7" t="inlineStr">
        <is>
          <t>A</t>
        </is>
      </c>
      <c r="D91" s="3" t="inlineStr">
        <is>
          <t>forte</t>
        </is>
      </c>
      <c r="E91" s="3" t="inlineStr">
        <is>
          <t>אסקימו לימון</t>
        </is>
      </c>
      <c r="F91" s="3" t="inlineStr">
        <is>
          <t>Juke Box</t>
        </is>
      </c>
      <c r="G91" s="3" t="inlineStr">
        <is>
          <t>1978</t>
        </is>
      </c>
      <c r="H91" s="3" t="inlineStr">
        <is>
          <t>he</t>
        </is>
      </c>
      <c r="I91" s="3" t="inlineStr"/>
      <c r="J91" s="3" t="n">
        <v>95</v>
      </c>
      <c r="K91" s="5" t="inlineStr">
        <is>
          <t>entrées : 1 350 000</t>
        </is>
      </c>
      <c r="L91" s="5" t="inlineStr"/>
      <c r="M91" s="6" t="inlineStr">
        <is>
          <t>https://en.wikipedia.org/wiki/Lemon_Popsicle</t>
        </is>
      </c>
      <c r="N91" s="6" t="inlineStr">
        <is>
          <t>https://www.themoviedb.org/movie/10580</t>
        </is>
      </c>
      <c r="O91" s="5" t="inlineStr">
        <is>
          <t>Kazablan (1973) 1 222 500 ; Sallah Shabati (1964) 1 184 900</t>
        </is>
      </c>
      <c r="P91" s="5" t="inlineStr">
        <is>
          <t>מי מפחד מהזאב הרע (2013, 439 votes)</t>
        </is>
      </c>
      <c r="Q91" s="5" t="inlineStr">
        <is>
          <t>Gett: The Trial of Viviane Amsalem (2014)</t>
        </is>
      </c>
      <c r="R91" s="5" t="inlineStr"/>
      <c r="S91" s="5" t="inlineStr">
        <is>
          <t>Film ancien, chiffre de billets issu de Wikipedia. Saving Shuli (2021) a annoncé 1 M de billets, sous le record.</t>
        </is>
      </c>
    </row>
    <row r="92">
      <c r="A92" s="3" t="inlineStr">
        <is>
          <t>Italie</t>
        </is>
      </c>
      <c r="B92" s="3" t="inlineStr">
        <is>
          <t>Europe</t>
        </is>
      </c>
      <c r="C92" s="7" t="inlineStr">
        <is>
          <t>A</t>
        </is>
      </c>
      <c r="D92" s="3" t="inlineStr">
        <is>
          <t>forte</t>
        </is>
      </c>
      <c r="E92" s="3" t="inlineStr">
        <is>
          <t>Per un pugno di dollari</t>
        </is>
      </c>
      <c r="F92" s="3" t="inlineStr">
        <is>
          <t>Pour une poignée de dollars</t>
        </is>
      </c>
      <c r="G92" s="3" t="inlineStr">
        <is>
          <t>1964</t>
        </is>
      </c>
      <c r="H92" s="3" t="inlineStr">
        <is>
          <t>it</t>
        </is>
      </c>
      <c r="I92" s="3" t="inlineStr"/>
      <c r="J92" s="3" t="n">
        <v>95</v>
      </c>
      <c r="K92" s="5" t="inlineStr">
        <is>
          <t>entrées : 14 797 275</t>
        </is>
      </c>
      <c r="L92" s="5" t="inlineStr">
        <is>
          <t>location : Apple TV Store, YouTube, Canal VOD ; achat : Apple TV Store, YouTube, Canal VOD</t>
        </is>
      </c>
      <c r="M92" s="6" t="inlineStr">
        <is>
          <t>https://en.wikipedia.org/wiki/List_of_highest-grossing_films_in_Italy</t>
        </is>
      </c>
      <c r="N92" s="6" t="inlineStr">
        <is>
          <t>https://www.themoviedb.org/movie/391</t>
        </is>
      </c>
      <c r="O92" s="5" t="inlineStr">
        <is>
          <t>Continuavano a chiamarlo Trinità (1971), 14 554 172</t>
        </is>
      </c>
      <c r="P92" s="5" t="inlineStr">
        <is>
          <t>La vita è bella (1997, 14339 votes)</t>
        </is>
      </c>
      <c r="Q92" s="5" t="inlineStr">
        <is>
          <t>Cinema Paradiso (1988)</t>
        </is>
      </c>
      <c r="R92" s="5" t="inlineStr"/>
      <c r="S92" s="5" t="inlineStr">
        <is>
          <t>Arbitrage après vérification : coproduction Italie/Espagne/RFA, mais production (Jolly Film) et réalisateur italiens, donc film national italien. Écart très faible avec Trinità. Ambigu : des films plus vus (Guerre et Paix, Dernier tango à Paris) sont écartés pour la langue ou la nationalité.</t>
        </is>
      </c>
    </row>
    <row r="93">
      <c r="A93" s="3" t="inlineStr">
        <is>
          <t>Jamaïque</t>
        </is>
      </c>
      <c r="B93" s="3" t="inlineStr">
        <is>
          <t>Amériques</t>
        </is>
      </c>
      <c r="C93" s="7" t="inlineStr">
        <is>
          <t>A</t>
        </is>
      </c>
      <c r="D93" s="3" t="inlineStr">
        <is>
          <t>bonne</t>
        </is>
      </c>
      <c r="E93" s="3" t="inlineStr">
        <is>
          <t>Third World Cop</t>
        </is>
      </c>
      <c r="F93" s="3" t="inlineStr">
        <is>
          <t>Third World Cop</t>
        </is>
      </c>
      <c r="G93" s="3" t="inlineStr">
        <is>
          <t>1999</t>
        </is>
      </c>
      <c r="H93" s="3" t="inlineStr">
        <is>
          <t>en</t>
        </is>
      </c>
      <c r="I93" s="3" t="inlineStr"/>
      <c r="J93" s="3" t="n">
        <v>98</v>
      </c>
      <c r="K93" s="5" t="inlineStr">
        <is>
          <t>recettes nationales : J$21 million</t>
        </is>
      </c>
      <c r="L93" s="5" t="inlineStr"/>
      <c r="M93" s="6" t="inlineStr">
        <is>
          <t>https://en.wikipedia.org/wiki/Third_World_Cop</t>
        </is>
      </c>
      <c r="N93" s="6" t="inlineStr">
        <is>
          <t>https://www.themoviedb.org/movie/46686</t>
        </is>
      </c>
      <c r="O93" s="5" t="inlineStr">
        <is>
          <t>Dancehall Queen (1997)</t>
        </is>
      </c>
      <c r="P93" s="5" t="inlineStr">
        <is>
          <t>Shottas (2002, 389 votes)</t>
        </is>
      </c>
      <c r="Q93" s="5" t="inlineStr">
        <is>
          <t>The Harder They Come (1972)</t>
        </is>
      </c>
      <c r="R93" s="5" t="inlineStr"/>
      <c r="S93" s="5" t="inlineStr">
        <is>
          <t>A battu le record de Home Alone 2 (étranger).</t>
        </is>
      </c>
    </row>
    <row r="94">
      <c r="A94" s="3" t="inlineStr">
        <is>
          <t>Japon</t>
        </is>
      </c>
      <c r="B94" s="3" t="inlineStr">
        <is>
          <t>Asie</t>
        </is>
      </c>
      <c r="C94" s="7" t="inlineStr">
        <is>
          <t>A</t>
        </is>
      </c>
      <c r="D94" s="3" t="inlineStr">
        <is>
          <t>bonne</t>
        </is>
      </c>
      <c r="E94" s="3" t="inlineStr">
        <is>
          <t>劇場版「鬼滅の刃」無限列車編</t>
        </is>
      </c>
      <c r="F94" s="3" t="inlineStr">
        <is>
          <t>Demon Slayer : Kimetsu no Yaiba - Le film : Le train de l'Infini</t>
        </is>
      </c>
      <c r="G94" s="3" t="inlineStr">
        <is>
          <t>2020</t>
        </is>
      </c>
      <c r="H94" s="3" t="inlineStr">
        <is>
          <t>ja</t>
        </is>
      </c>
      <c r="I94" s="3" t="inlineStr">
        <is>
          <t>oui</t>
        </is>
      </c>
      <c r="J94" s="3" t="n">
        <v>117</v>
      </c>
      <c r="K94" s="5" t="inlineStr">
        <is>
          <t>recettes nationales : ¥40.75bn</t>
        </is>
      </c>
      <c r="L94" s="5" t="inlineStr">
        <is>
          <t>abonnement : Crunchyroll Amazon Channel</t>
        </is>
      </c>
      <c r="M94" s="6" t="inlineStr">
        <is>
          <t>https://en.wikipedia.org/wiki/List_of_highest-grossing_films_in_Japan</t>
        </is>
      </c>
      <c r="N94" s="6" t="inlineStr">
        <is>
          <t>https://www.themoviedb.org/movie/635302</t>
        </is>
      </c>
      <c r="O94" s="5" t="inlineStr">
        <is>
          <t>Demon Slayer: Infinity Castle (2025, ¥40.36bn)</t>
        </is>
      </c>
      <c r="P94" s="5" t="inlineStr">
        <is>
          <t>千と千尋の神隠し (2001, 19092 votes)</t>
        </is>
      </c>
      <c r="Q94" s="5" t="inlineStr">
        <is>
          <t>Grave of the Fireflies (1988)</t>
        </is>
      </c>
      <c r="R94" s="5" t="inlineStr"/>
      <c r="S94" s="5" t="inlineStr">
        <is>
          <t>Very close with the runner-up; Spirited Away is third (¥31.68bn).</t>
        </is>
      </c>
    </row>
    <row r="95">
      <c r="A95" s="3" t="inlineStr">
        <is>
          <t>Jordanie</t>
        </is>
      </c>
      <c r="B95" s="3" t="inlineStr">
        <is>
          <t>Moyen-Orient</t>
        </is>
      </c>
      <c r="C95" s="4" t="inlineStr">
        <is>
          <t>B</t>
        </is>
      </c>
      <c r="D95" s="3" t="inlineStr">
        <is>
          <t>moyenne</t>
        </is>
      </c>
      <c r="E95" s="3" t="inlineStr">
        <is>
          <t>ذيب</t>
        </is>
      </c>
      <c r="F95" s="3" t="inlineStr">
        <is>
          <t>Theeb - La Naissance d'un chef</t>
        </is>
      </c>
      <c r="G95" s="3" t="inlineStr">
        <is>
          <t>2014</t>
        </is>
      </c>
      <c r="H95" s="3" t="inlineStr">
        <is>
          <t>ar</t>
        </is>
      </c>
      <c r="I95" s="3" t="inlineStr"/>
      <c r="J95" s="3" t="n">
        <v>100</v>
      </c>
      <c r="K95" s="5" t="inlineStr">
        <is>
          <t>popularité TMDB : 200 votes</t>
        </is>
      </c>
      <c r="L95" s="5" t="inlineStr">
        <is>
          <t>location : Apple TV Store, Orange VOD, YouTube, Sooner ; achat : Apple TV Store, Orange VOD, YouTube, Canal VOD</t>
        </is>
      </c>
      <c r="M95" s="6" t="inlineStr">
        <is>
          <t>https://www.themoviedb.org/movie/287628</t>
        </is>
      </c>
      <c r="N95" s="6" t="inlineStr">
        <is>
          <t>https://www.themoviedb.org/movie/287628</t>
        </is>
      </c>
      <c r="O95" s="5" t="inlineStr"/>
      <c r="P95" s="5" t="inlineStr">
        <is>
          <t>ذيب (2014, 200 votes)</t>
        </is>
      </c>
      <c r="Q95" s="5" t="inlineStr">
        <is>
          <t>Theeb (2014)</t>
        </is>
      </c>
      <c r="R95" s="5" t="inlineStr"/>
      <c r="S95" s="5" t="inlineStr">
        <is>
          <t>Pas de box-office suivi pour les films jordaniens. Aucun record documenté trouvé. / pas de box-office national suivi ou publié trouvé</t>
        </is>
      </c>
    </row>
    <row r="96">
      <c r="A96" s="3" t="inlineStr">
        <is>
          <t>Kazakhstan</t>
        </is>
      </c>
      <c r="B96" s="3" t="inlineStr">
        <is>
          <t>Asie</t>
        </is>
      </c>
      <c r="C96" s="7" t="inlineStr">
        <is>
          <t>A</t>
        </is>
      </c>
      <c r="D96" s="3" t="inlineStr">
        <is>
          <t>bonne</t>
        </is>
      </c>
      <c r="E96" s="3" t="inlineStr">
        <is>
          <t>Таптым-ау сені</t>
        </is>
      </c>
      <c r="F96" s="3" t="inlineStr">
        <is>
          <t>Таптым-ау сені</t>
        </is>
      </c>
      <c r="G96" s="3" t="inlineStr">
        <is>
          <t>2023</t>
        </is>
      </c>
      <c r="H96" s="3" t="inlineStr">
        <is>
          <t>kk</t>
        </is>
      </c>
      <c r="I96" s="3" t="inlineStr"/>
      <c r="J96" s="3" t="n">
        <v>90</v>
      </c>
      <c r="K96" s="5" t="inlineStr">
        <is>
          <t>recettes nationales : 1,834,702,810 KZT (as of 4 Dec 2025)</t>
        </is>
      </c>
      <c r="L96" s="5" t="inlineStr"/>
      <c r="M96" s="6" t="inlineStr">
        <is>
          <t>https://kinomania.kz/kk/top-10-samyh-kassovyh-filmov-v-istorii-kazahstanskogo-kino/</t>
        </is>
      </c>
      <c r="N96" s="6" t="inlineStr">
        <is>
          <t>https://www.themoviedb.org/movie/1221435</t>
        </is>
      </c>
      <c r="O96" s="5" t="inlineStr">
        <is>
          <t>Ystyk uya (2025, 1,754,600,300 KZT)</t>
        </is>
      </c>
      <c r="P96" s="5" t="inlineStr">
        <is>
          <t>Томирис (2019, 183 votes)</t>
        </is>
      </c>
      <c r="Q96" s="5" t="inlineStr">
        <is>
          <t>The Needle (1989)</t>
        </is>
      </c>
      <c r="R96" s="5" t="inlineStr"/>
      <c r="S96" s="5" t="inlineStr">
        <is>
          <t>Some 2026 films listed only as '1+ млрд ₸', no total; the Kyrgyz film Peyish 2 excluded.</t>
        </is>
      </c>
    </row>
    <row r="97">
      <c r="A97" s="3" t="inlineStr">
        <is>
          <t>Kenya</t>
        </is>
      </c>
      <c r="B97" s="3" t="inlineStr">
        <is>
          <t>Afrique</t>
        </is>
      </c>
      <c r="C97" s="9" t="inlineStr">
        <is>
          <t>C</t>
        </is>
      </c>
      <c r="D97" s="3" t="inlineStr">
        <is>
          <t>faible (choix éditorial, pas d'audience)</t>
        </is>
      </c>
      <c r="E97" s="3" t="inlineStr">
        <is>
          <t>Nairobi Half Life</t>
        </is>
      </c>
      <c r="F97" s="3" t="inlineStr">
        <is>
          <t>Nairobi Half Life</t>
        </is>
      </c>
      <c r="G97" s="3" t="inlineStr">
        <is>
          <t>2012</t>
        </is>
      </c>
      <c r="H97" s="3" t="inlineStr">
        <is>
          <t>sw</t>
        </is>
      </c>
      <c r="I97" s="3" t="inlineStr"/>
      <c r="J97" s="3" t="n">
        <v>96</v>
      </c>
      <c r="K97" s="5" t="inlineStr">
        <is>
          <t>choix « native » de Films Around the World</t>
        </is>
      </c>
      <c r="L97" s="5" t="inlineStr"/>
      <c r="M97" s="6" t="inlineStr">
        <is>
          <t>https://filmsaroundthe.world/country/kenya/films/nairobi-half-life-f7f907c0527196075/</t>
        </is>
      </c>
      <c r="N97" s="6" t="inlineStr">
        <is>
          <t>https://www.themoviedb.org/movie/130737</t>
        </is>
      </c>
      <c r="O97" s="5" t="inlineStr"/>
      <c r="P97" s="5" t="inlineStr">
        <is>
          <t>Nairobi Half Life (2012, 13 votes)</t>
        </is>
      </c>
      <c r="Q97" s="5" t="inlineStr">
        <is>
          <t>Nairobi Half Life (2012)</t>
        </is>
      </c>
      <c r="R97" s="5" t="inlineStr"/>
      <c r="S97" s="5" t="inlineStr">
        <is>
          <t>Pas de box-office national publié. Rafiki (2018) a été le « 2e film kényan le plus rentable de tous les temps » avec 33 000 $ en 7 jours (Attitude, Mail &amp; Guardian) ; le 1er n'est pas nommé dans les sources trouvées. / Pas de box-office national suivi. Rafiki (2018) cité comme 2e film kényan le plus rentable (33 000 $, Mail &amp; Guardian) : classement non sourcé en entier.</t>
        </is>
      </c>
    </row>
    <row r="98">
      <c r="A98" s="3" t="inlineStr">
        <is>
          <t>Kirghizistan</t>
        </is>
      </c>
      <c r="B98" s="3" t="inlineStr">
        <is>
          <t>Asie</t>
        </is>
      </c>
      <c r="C98" s="9" t="inlineStr">
        <is>
          <t>C</t>
        </is>
      </c>
      <c r="D98" s="3" t="inlineStr">
        <is>
          <t>faible (choix éditorial, pas d'audience)</t>
        </is>
      </c>
      <c r="E98" s="3" t="inlineStr">
        <is>
          <t>Белый пароход</t>
        </is>
      </c>
      <c r="F98" s="3" t="inlineStr">
        <is>
          <t>Белый пароход</t>
        </is>
      </c>
      <c r="G98" s="3" t="inlineStr">
        <is>
          <t>1976</t>
        </is>
      </c>
      <c r="H98" s="3" t="inlineStr">
        <is>
          <t>ru</t>
        </is>
      </c>
      <c r="I98" s="3" t="inlineStr"/>
      <c r="J98" s="3" t="n">
        <v>101</v>
      </c>
      <c r="K98" s="5" t="inlineStr">
        <is>
          <t>choix « native » de Films Around the World</t>
        </is>
      </c>
      <c r="L98" s="5" t="inlineStr"/>
      <c r="M98" s="6" t="inlineStr">
        <is>
          <t>https://filmsaroundthe.world/country/kyrgyzstan/films/the-white-ship-faadf3d31c5be3d9e/</t>
        </is>
      </c>
      <c r="N98" s="6" t="inlineStr">
        <is>
          <t>https://www.themoviedb.org/movie/263830</t>
        </is>
      </c>
      <c r="O98" s="5" t="inlineStr"/>
      <c r="P98" s="5" t="inlineStr">
        <is>
          <t>Ala kachuu (2020, 17 votes)</t>
        </is>
      </c>
      <c r="Q98" s="5" t="inlineStr">
        <is>
          <t>The White Ship (1976)</t>
        </is>
      </c>
      <c r="R98" s="5" t="inlineStr"/>
      <c r="S98" s="5" t="inlineStr">
        <is>
          <t>Deux candidats. Kurmanjan Datka (2014) : « highest-grossing domestic film ever » (Hollywood Reporter), ~40 M som attendus (AKIpress, prévision). Beyish enenin tamaninda (2024, Rouslan Akoun) : « a toutes les chances de devenir le plus gros succès de l'histoire du cinéma kirghize, devant Kurmanjan Datka » (Akchabar), meilleur résultat 2024 au Kirghizistan. Dépassement non confirmé. / No sourced figure for the top Kyrgyz film.</t>
        </is>
      </c>
    </row>
    <row r="99">
      <c r="A99" s="3" t="inlineStr">
        <is>
          <t>Kiribati</t>
        </is>
      </c>
      <c r="B99" s="3" t="inlineStr">
        <is>
          <t>Océanie</t>
        </is>
      </c>
      <c r="C99" s="8" t="inlineStr">
        <is>
          <t>D</t>
        </is>
      </c>
      <c r="D99" s="3" t="inlineStr">
        <is>
          <t>très faible (moins de 50 votes)</t>
        </is>
      </c>
      <c r="E99" s="3" t="inlineStr">
        <is>
          <t>Te Maraia</t>
        </is>
      </c>
      <c r="F99" s="3" t="inlineStr">
        <is>
          <t>Te Maraia</t>
        </is>
      </c>
      <c r="G99" s="3" t="inlineStr">
        <is>
          <t>2014</t>
        </is>
      </c>
      <c r="H99" s="3" t="inlineStr">
        <is>
          <t>en</t>
        </is>
      </c>
      <c r="I99" s="3" t="inlineStr"/>
      <c r="J99" s="3" t="n">
        <v>112</v>
      </c>
      <c r="K99" s="5" t="inlineStr">
        <is>
          <t>popularité TMDB : 0 votes</t>
        </is>
      </c>
      <c r="L99" s="5" t="inlineStr"/>
      <c r="M99" s="6" t="inlineStr">
        <is>
          <t>https://www.themoviedb.org/movie/1253339</t>
        </is>
      </c>
      <c r="N99" s="6" t="inlineStr">
        <is>
          <t>https://www.themoviedb.org/movie/1253339</t>
        </is>
      </c>
      <c r="O99" s="5" t="inlineStr"/>
      <c r="P99" s="5" t="inlineStr">
        <is>
          <t>Te Maraia (2014, 0 votes)</t>
        </is>
      </c>
      <c r="Q99" s="5" t="inlineStr"/>
      <c r="R99" s="5" t="inlineStr"/>
      <c r="S99" s="5" t="inlineStr">
        <is>
          <t>No sourced box office data.</t>
        </is>
      </c>
    </row>
    <row r="100">
      <c r="A100" s="3" t="inlineStr">
        <is>
          <t>Kosovo</t>
        </is>
      </c>
      <c r="B100" s="3" t="inlineStr">
        <is>
          <t>Europe</t>
        </is>
      </c>
      <c r="C100" s="9" t="inlineStr">
        <is>
          <t>C</t>
        </is>
      </c>
      <c r="D100" s="3" t="inlineStr">
        <is>
          <t>faible (choix éditorial, pas d'audience)</t>
        </is>
      </c>
      <c r="E100" s="3" t="inlineStr">
        <is>
          <t>Zgjoi</t>
        </is>
      </c>
      <c r="F100" s="3" t="inlineStr">
        <is>
          <t>La Ruche</t>
        </is>
      </c>
      <c r="G100" s="3" t="inlineStr">
        <is>
          <t>2021</t>
        </is>
      </c>
      <c r="H100" s="3" t="inlineStr">
        <is>
          <t>sq</t>
        </is>
      </c>
      <c r="I100" s="3" t="inlineStr"/>
      <c r="J100" s="3" t="n">
        <v>83</v>
      </c>
      <c r="K100" s="5" t="inlineStr">
        <is>
          <t>choix « native » de Films Around the World</t>
        </is>
      </c>
      <c r="L100" s="5" t="inlineStr">
        <is>
          <t>location : Orange VOD, Canal VOD, Sooner, VIVA by videofutur ; achat : Orange VOD, Canal VOD, Sooner, VIVA by videofutur</t>
        </is>
      </c>
      <c r="M100" s="6" t="inlineStr">
        <is>
          <t>https://filmsaroundthe.world/</t>
        </is>
      </c>
      <c r="N100" s="6" t="inlineStr">
        <is>
          <t>https://www.themoviedb.org/movie/776541</t>
        </is>
      </c>
      <c r="O100" s="5" t="inlineStr"/>
      <c r="P100" s="5" t="inlineStr">
        <is>
          <t>Shok (2015, 33 votes)</t>
        </is>
      </c>
      <c r="Q100" s="5" t="inlineStr">
        <is>
          <t>Hive (2021)</t>
        </is>
      </c>
      <c r="R100" s="5" t="inlineStr"/>
      <c r="S100" s="5" t="inlineStr">
        <is>
          <t>Film kosovar de Blerta Basholli, triple prix à Sundance 2021. La recherche par titre anglais tombait sur un homonyme. Pas de donnée sourcée. / Pas de donnée sourcée.</t>
        </is>
      </c>
    </row>
    <row r="101">
      <c r="A101" s="3" t="inlineStr">
        <is>
          <t>Koweït</t>
        </is>
      </c>
      <c r="B101" s="3" t="inlineStr">
        <is>
          <t>Moyen-Orient</t>
        </is>
      </c>
      <c r="C101" s="4" t="inlineStr">
        <is>
          <t>B</t>
        </is>
      </c>
      <c r="D101" s="3" t="inlineStr">
        <is>
          <t>moyenne</t>
        </is>
      </c>
      <c r="E101" s="3" t="inlineStr">
        <is>
          <t>شهر زي العسل</t>
        </is>
      </c>
      <c r="F101" s="3" t="inlineStr">
        <is>
          <t>Drôle de lune de miel</t>
        </is>
      </c>
      <c r="G101" s="3" t="inlineStr">
        <is>
          <t>2024</t>
        </is>
      </c>
      <c r="H101" s="3" t="inlineStr">
        <is>
          <t>ar</t>
        </is>
      </c>
      <c r="I101" s="3" t="inlineStr"/>
      <c r="J101" s="3" t="n">
        <v>100</v>
      </c>
      <c r="K101" s="5" t="inlineStr">
        <is>
          <t>popularité TMDB : 88 votes</t>
        </is>
      </c>
      <c r="L101" s="5" t="inlineStr">
        <is>
          <t>abonnement : Netflix, Netflix Standard with Ads</t>
        </is>
      </c>
      <c r="M101" s="6" t="inlineStr">
        <is>
          <t>https://www.themoviedb.org/movie/1257750</t>
        </is>
      </c>
      <c r="N101" s="6" t="inlineStr">
        <is>
          <t>https://www.themoviedb.org/movie/1257750</t>
        </is>
      </c>
      <c r="O101" s="5" t="inlineStr"/>
      <c r="P101" s="5" t="inlineStr">
        <is>
          <t>شهر زي العسل (2024, 88 votes)</t>
        </is>
      </c>
      <c r="Q101" s="5" t="inlineStr">
        <is>
          <t>The Cruel Sea (1972)</t>
        </is>
      </c>
      <c r="R101" s="5" t="inlineStr"/>
      <c r="S101" s="5" t="inlineStr">
        <is>
          <t>Pas de box-office suivi pour les films koweïtiens. Aucun record documenté trouvé. / pas de box-office national suivi ou publié trouvé</t>
        </is>
      </c>
    </row>
    <row r="102">
      <c r="A102" s="3" t="inlineStr">
        <is>
          <t>Laos</t>
        </is>
      </c>
      <c r="B102" s="3" t="inlineStr">
        <is>
          <t>Asie</t>
        </is>
      </c>
      <c r="C102" s="9" t="inlineStr">
        <is>
          <t>C</t>
        </is>
      </c>
      <c r="D102" s="3" t="inlineStr">
        <is>
          <t>faible (choix éditorial, pas d'audience)</t>
        </is>
      </c>
      <c r="E102" s="3" t="inlineStr">
        <is>
          <t>สะบายดี หลวงพะบาง</t>
        </is>
      </c>
      <c r="F102" s="3" t="inlineStr">
        <is>
          <t>สะบายดี หลวงพะบาง</t>
        </is>
      </c>
      <c r="G102" s="3" t="inlineStr">
        <is>
          <t>2008</t>
        </is>
      </c>
      <c r="H102" s="3" t="inlineStr">
        <is>
          <t>th</t>
        </is>
      </c>
      <c r="I102" s="3" t="inlineStr"/>
      <c r="J102" s="3" t="n">
        <v>93</v>
      </c>
      <c r="K102" s="5" t="inlineStr">
        <is>
          <t>choix « native » de Films Around the World</t>
        </is>
      </c>
      <c r="L102" s="5" t="inlineStr"/>
      <c r="M102" s="6" t="inlineStr">
        <is>
          <t>https://filmsaroundthe.world/country/laos/films/sabaidee-luang-prabang-fd7dcd49f7e0ddc5d/</t>
        </is>
      </c>
      <c r="N102" s="6" t="inlineStr">
        <is>
          <t>https://www.themoviedb.org/movie/54822</t>
        </is>
      </c>
      <c r="O102" s="5" t="inlineStr"/>
      <c r="P102" s="5" t="inlineStr">
        <is>
          <t>ນ້ອງຮັກ (2017, 15 votes)</t>
        </is>
      </c>
      <c r="Q102" s="5" t="inlineStr">
        <is>
          <t>Sabaidee Luang Prabang (2008)</t>
        </is>
      </c>
      <c r="R102" s="5" t="inlineStr"/>
      <c r="S102" s="5" t="inlineStr">
        <is>
          <t>Industrie quasi inexistante, pas de box-office suivi. Sabaidee Luang Prabang (2008) est le premier film privé depuis 1975 ; aucun chiffre trouvé. / No sourced box office data.</t>
        </is>
      </c>
    </row>
    <row r="103">
      <c r="A103" s="3" t="inlineStr">
        <is>
          <t>Lesotho</t>
        </is>
      </c>
      <c r="B103" s="3" t="inlineStr">
        <is>
          <t>Afrique</t>
        </is>
      </c>
      <c r="C103" s="9" t="inlineStr">
        <is>
          <t>C</t>
        </is>
      </c>
      <c r="D103" s="3" t="inlineStr">
        <is>
          <t>faible (choix éditorial, pas d'audience)</t>
        </is>
      </c>
      <c r="E103" s="3" t="inlineStr">
        <is>
          <t>This Is Not a Burial, It's a Resurrection</t>
        </is>
      </c>
      <c r="F103" s="3" t="inlineStr">
        <is>
          <t>L’ Indomptable feu du printemps</t>
        </is>
      </c>
      <c r="G103" s="3" t="inlineStr">
        <is>
          <t>2020</t>
        </is>
      </c>
      <c r="H103" s="3" t="inlineStr">
        <is>
          <t>st</t>
        </is>
      </c>
      <c r="I103" s="3" t="inlineStr"/>
      <c r="J103" s="3" t="n">
        <v>120</v>
      </c>
      <c r="K103" s="5" t="inlineStr">
        <is>
          <t>choix « native » de Films Around the World</t>
        </is>
      </c>
      <c r="L103" s="5" t="inlineStr">
        <is>
          <t>location : Orange VOD, Sooner, Amazon Video, ARTE VOD ; achat : Orange VOD, Canal VOD, Sooner, Amazon Video</t>
        </is>
      </c>
      <c r="M103" s="6" t="inlineStr">
        <is>
          <t>https://filmsaroundthe.world/country/lesotho/films/this-is-not-a-burial-it-s-a-resurrection-fa007522f36567179/</t>
        </is>
      </c>
      <c r="N103" s="6" t="inlineStr">
        <is>
          <t>https://www.themoviedb.org/movie/618208</t>
        </is>
      </c>
      <c r="O103" s="5" t="inlineStr"/>
      <c r="P103" s="5" t="inlineStr">
        <is>
          <t>The Forgotten Kingdom (2013, 3 votes)</t>
        </is>
      </c>
      <c r="Q103" s="5" t="inlineStr">
        <is>
          <t>This Is Not a Burial, It's a Resurrection (2020)</t>
        </is>
      </c>
      <c r="R103" s="5" t="inlineStr"/>
      <c r="S103" s="5" t="inlineStr">
        <is>
          <t>pas de box-office national suivi ou publié trouvé</t>
        </is>
      </c>
    </row>
    <row r="104">
      <c r="A104" s="3" t="inlineStr">
        <is>
          <t>Lettonie</t>
        </is>
      </c>
      <c r="B104" s="3" t="inlineStr">
        <is>
          <t>Europe</t>
        </is>
      </c>
      <c r="C104" s="7" t="inlineStr">
        <is>
          <t>A</t>
        </is>
      </c>
      <c r="D104" s="3" t="inlineStr">
        <is>
          <t>forte</t>
        </is>
      </c>
      <c r="E104" s="3" t="inlineStr">
        <is>
          <t>Straume</t>
        </is>
      </c>
      <c r="F104" s="3" t="inlineStr">
        <is>
          <t>Flow, le chat qui n'avait plus peur de l'eau</t>
        </is>
      </c>
      <c r="G104" s="3" t="inlineStr">
        <is>
          <t>2024</t>
        </is>
      </c>
      <c r="H104" s="3" t="inlineStr">
        <is>
          <t>zxx</t>
        </is>
      </c>
      <c r="I104" s="3" t="inlineStr">
        <is>
          <t>oui</t>
        </is>
      </c>
      <c r="J104" s="3" t="n">
        <v>85</v>
      </c>
      <c r="K104" s="5" t="inlineStr">
        <is>
          <t>entrées : plus de 200 000 (janvier 2025)</t>
        </is>
      </c>
      <c r="L104" s="5" t="inlineStr">
        <is>
          <t>location : Apple TV Store, Orange VOD, YouTube, Rakuten TV ; achat : Apple TV Store, Orange VOD, YouTube, Rakuten TV</t>
        </is>
      </c>
      <c r="M104" s="6" t="inlineStr">
        <is>
          <t>https://en.wikipedia.org/wiki/Cinema_of_Latvia</t>
        </is>
      </c>
      <c r="N104" s="6" t="inlineStr">
        <is>
          <t>https://www.themoviedb.org/movie/823219</t>
        </is>
      </c>
      <c r="O104" s="5" t="inlineStr"/>
      <c r="P104" s="5" t="inlineStr">
        <is>
          <t>Straume (2024, 3119 votes)</t>
        </is>
      </c>
      <c r="Q104" s="5" t="inlineStr">
        <is>
          <t>Flow (2024)</t>
        </is>
      </c>
      <c r="R104" s="5" t="inlineStr"/>
      <c r="S104" s="5" t="inlineStr">
        <is>
          <t>Wikipedia : film le plus vu de l'histoire des salles lettones. 200 000 spectateurs en Lettonie atteints en janvier 2025 (lsm.lv) ; total final non trouvé. Film sans dialogue (langue 'zxx'). Animation, coproduction Lettonie/France/Belgique, réalisateur letton.</t>
        </is>
      </c>
    </row>
    <row r="105">
      <c r="A105" s="3" t="inlineStr">
        <is>
          <t>Liban</t>
        </is>
      </c>
      <c r="B105" s="3" t="inlineStr">
        <is>
          <t>Moyen-Orient</t>
        </is>
      </c>
      <c r="C105" s="4" t="inlineStr">
        <is>
          <t>B</t>
        </is>
      </c>
      <c r="D105" s="3" t="inlineStr">
        <is>
          <t>moyenne</t>
        </is>
      </c>
      <c r="E105" s="3" t="inlineStr">
        <is>
          <t>سكر بنات</t>
        </is>
      </c>
      <c r="F105" s="3" t="inlineStr">
        <is>
          <t>Caramel</t>
        </is>
      </c>
      <c r="G105" s="3" t="inlineStr">
        <is>
          <t>2007</t>
        </is>
      </c>
      <c r="H105" s="3" t="inlineStr">
        <is>
          <t>ar</t>
        </is>
      </c>
      <c r="I105" s="3" t="inlineStr"/>
      <c r="J105" s="3" t="n">
        <v>95</v>
      </c>
      <c r="K105" s="5" t="inlineStr">
        <is>
          <t>popularité TMDB : 256 votes</t>
        </is>
      </c>
      <c r="L105" s="5" t="inlineStr">
        <is>
          <t>location : Orange VOD, Canal VOD, Sooner, Amazon Video ; achat : Orange VOD, Canal VOD, Sooner, Amazon Video</t>
        </is>
      </c>
      <c r="M105" s="6" t="inlineStr">
        <is>
          <t>https://www.themoviedb.org/movie/7973</t>
        </is>
      </c>
      <c r="N105" s="6" t="inlineStr">
        <is>
          <t>https://www.themoviedb.org/movie/7973</t>
        </is>
      </c>
      <c r="O105" s="5" t="inlineStr"/>
      <c r="P105" s="5" t="inlineStr">
        <is>
          <t>سكر بنات (2007, 256 votes)</t>
        </is>
      </c>
      <c r="Q105" s="5" t="inlineStr">
        <is>
          <t>Capernaum (2018)</t>
        </is>
      </c>
      <c r="R105" s="5" t="inlineStr"/>
      <c r="S105" s="5" t="inlineStr">
        <is>
          <t>Pas de classement national publié. Candidats : Where Do We Go Now? (27 807 entrées en ouverture sur 8 écrans, 64 200 cumulées après deux semaines, Screen Daily) et Capharnaüm (2018, « plus gros succès libanais de 2018 » seulement). What About Tomorrow? (2016, captation d'une pièce de Ziad Rahbani) était « attendu comme plus gros succès libanais » (Deadline) mais n'est pas une fiction classique. Aucun chiffre final. / Pas de chiffre national sourcé. Candidats : Capharnaüm (2018, Labaki) cité comme n°1 du box-office libanais 2018 (post Facebook Academy Cinemas) ; What About Tomorrow? (2016) a battu des records locaux (Deadline, 22/01/2016) ; Fakebook (2026) passé n°1 d'après Instagram. Non tranché.</t>
        </is>
      </c>
    </row>
    <row r="106">
      <c r="A106" s="3" t="inlineStr">
        <is>
          <t>Liberia</t>
        </is>
      </c>
      <c r="B106" s="3" t="inlineStr">
        <is>
          <t>Afrique</t>
        </is>
      </c>
      <c r="C106" s="9" t="inlineStr">
        <is>
          <t>C</t>
        </is>
      </c>
      <c r="D106" s="3" t="inlineStr">
        <is>
          <t>faible (choix éditorial, pas d'audience)</t>
        </is>
      </c>
      <c r="E106" s="3" t="inlineStr">
        <is>
          <t>Murder in the Cassava Patch</t>
        </is>
      </c>
      <c r="F106" s="3" t="inlineStr">
        <is>
          <t>Murder in the Cassava Patch</t>
        </is>
      </c>
      <c r="G106" s="3" t="inlineStr">
        <is>
          <t>2012</t>
        </is>
      </c>
      <c r="H106" s="3" t="inlineStr">
        <is>
          <t>en</t>
        </is>
      </c>
      <c r="I106" s="3" t="inlineStr"/>
      <c r="J106" s="3" t="n">
        <v>75</v>
      </c>
      <c r="K106" s="5" t="inlineStr">
        <is>
          <t>choix « native » de Films Around the World</t>
        </is>
      </c>
      <c r="L106" s="5" t="inlineStr"/>
      <c r="M106" s="6" t="inlineStr">
        <is>
          <t>https://filmsaroundthe.world/</t>
        </is>
      </c>
      <c r="N106" s="6" t="inlineStr">
        <is>
          <t>https://www.themoviedb.org/movie/442185</t>
        </is>
      </c>
      <c r="O106" s="5" t="inlineStr"/>
      <c r="P106" s="5" t="inlineStr">
        <is>
          <t>Johnny Mad Dog (2008, 67 votes)</t>
        </is>
      </c>
      <c r="Q106" s="5" t="inlineStr">
        <is>
          <t>Murder in the Cassava Patch (2012)</t>
        </is>
      </c>
      <c r="R106" s="5" t="inlineStr"/>
      <c r="S106" s="5" t="inlineStr">
        <is>
          <t>Arbitrage manuel : TMDB proposait Johnny Mad Dog, production française. pas de box-office national suivi ou publié trouvé</t>
        </is>
      </c>
    </row>
    <row r="107">
      <c r="A107" s="3" t="inlineStr">
        <is>
          <t>Libye</t>
        </is>
      </c>
      <c r="B107" s="3" t="inlineStr">
        <is>
          <t>Afrique</t>
        </is>
      </c>
      <c r="C107" s="8" t="inlineStr">
        <is>
          <t>D</t>
        </is>
      </c>
      <c r="D107" s="3" t="inlineStr">
        <is>
          <t>très faible (moins de 50 votes)</t>
        </is>
      </c>
      <c r="E107" s="3" t="inlineStr">
        <is>
          <t>Prisoner and Jailer</t>
        </is>
      </c>
      <c r="F107" s="3" t="inlineStr">
        <is>
          <t>Prisonnier et geôlier</t>
        </is>
      </c>
      <c r="G107" s="3" t="inlineStr">
        <is>
          <t>2019</t>
        </is>
      </c>
      <c r="H107" s="3" t="inlineStr">
        <is>
          <t>ar</t>
        </is>
      </c>
      <c r="I107" s="3" t="inlineStr"/>
      <c r="J107" s="3" t="n">
        <v>15</v>
      </c>
      <c r="K107" s="5" t="inlineStr">
        <is>
          <t>popularité TMDB : 4 votes</t>
        </is>
      </c>
      <c r="L107" s="5" t="inlineStr"/>
      <c r="M107" s="6" t="inlineStr">
        <is>
          <t>https://www.themoviedb.org/movie/642483</t>
        </is>
      </c>
      <c r="N107" s="6" t="inlineStr">
        <is>
          <t>https://www.themoviedb.org/movie/642483</t>
        </is>
      </c>
      <c r="O107" s="5" t="inlineStr"/>
      <c r="P107" s="5" t="inlineStr">
        <is>
          <t>Prisoner and Jailer (2019, 4 votes)</t>
        </is>
      </c>
      <c r="Q107" s="5" t="inlineStr">
        <is>
          <t>Freedom Fields (2018)</t>
        </is>
      </c>
      <c r="R107" s="5" t="inlineStr"/>
      <c r="S107" s="5" t="inlineStr">
        <is>
          <t>pas de box-office national suivi ou publié trouvé</t>
        </is>
      </c>
    </row>
    <row r="108">
      <c r="A108" s="3" t="inlineStr">
        <is>
          <t>Liechtenstein</t>
        </is>
      </c>
      <c r="B108" s="3" t="inlineStr">
        <is>
          <t>Europe</t>
        </is>
      </c>
      <c r="C108" s="9" t="inlineStr">
        <is>
          <t>C</t>
        </is>
      </c>
      <c r="D108" s="3" t="inlineStr">
        <is>
          <t>faible (choix éditorial, pas d'audience)</t>
        </is>
      </c>
      <c r="E108" s="3" t="inlineStr">
        <is>
          <t>Kinder der Berge</t>
        </is>
      </c>
      <c r="F108" s="3" t="inlineStr">
        <is>
          <t>Kinder der Berge</t>
        </is>
      </c>
      <c r="G108" s="3" t="inlineStr">
        <is>
          <t>1958</t>
        </is>
      </c>
      <c r="H108" s="3" t="inlineStr">
        <is>
          <t>de</t>
        </is>
      </c>
      <c r="I108" s="3" t="inlineStr"/>
      <c r="J108" s="3" t="n">
        <v>99</v>
      </c>
      <c r="K108" s="5" t="inlineStr">
        <is>
          <t>choix « native » de Films Around the World</t>
        </is>
      </c>
      <c r="L108" s="5" t="inlineStr"/>
      <c r="M108" s="6" t="inlineStr">
        <is>
          <t>https://filmsaroundthe.world/country/liechtenstein/films/children-of-the-mountains-f88071c06690dc900/</t>
        </is>
      </c>
      <c r="N108" s="6" t="inlineStr">
        <is>
          <t>https://www.themoviedb.org/movie/314947</t>
        </is>
      </c>
      <c r="O108" s="5" t="inlineStr"/>
      <c r="P108" s="5" t="inlineStr">
        <is>
          <t>Kinder der Berge (1958, 1 votes)</t>
        </is>
      </c>
      <c r="Q108" s="5" t="inlineStr">
        <is>
          <t>Children of the Mountains (1958)</t>
        </is>
      </c>
      <c r="R108" s="5" t="inlineStr"/>
      <c r="S108" s="5" t="inlineStr">
        <is>
          <t>Pas d'industrie nationale.</t>
        </is>
      </c>
    </row>
    <row r="109">
      <c r="A109" s="3" t="inlineStr">
        <is>
          <t>Lituanie</t>
        </is>
      </c>
      <c r="B109" s="3" t="inlineStr">
        <is>
          <t>Europe</t>
        </is>
      </c>
      <c r="C109" s="7" t="inlineStr">
        <is>
          <t>A</t>
        </is>
      </c>
      <c r="D109" s="3" t="inlineStr">
        <is>
          <t>forte</t>
        </is>
      </c>
      <c r="E109" s="3" t="inlineStr">
        <is>
          <t>Pietinia kronika</t>
        </is>
      </c>
      <c r="F109" s="3" t="inlineStr">
        <is>
          <t>Pietinia Kronikas</t>
        </is>
      </c>
      <c r="G109" s="3" t="inlineStr">
        <is>
          <t>2025</t>
        </is>
      </c>
      <c r="H109" s="3" t="inlineStr">
        <is>
          <t>lt</t>
        </is>
      </c>
      <c r="I109" s="3" t="inlineStr"/>
      <c r="J109" s="3" t="n">
        <v>120</v>
      </c>
      <c r="K109" s="5" t="inlineStr">
        <is>
          <t>entrées : 260 775 sur le seul 3e week-end (total cumulé non trouvé)</t>
        </is>
      </c>
      <c r="L109" s="5" t="inlineStr"/>
      <c r="M109" s="6" t="inlineStr">
        <is>
          <t>https://en.wikipedia.org/wiki/The_Southern_Chronicles</t>
        </is>
      </c>
      <c r="N109" s="6" t="inlineStr">
        <is>
          <t>https://www.themoviedb.org/movie/1252855</t>
        </is>
      </c>
      <c r="O109" s="5" t="inlineStr"/>
      <c r="P109" s="5" t="inlineStr">
        <is>
          <t>Tu man nieko neprimeni (2023, 50 votes)</t>
        </is>
      </c>
      <c r="Q109" s="5" t="inlineStr">
        <is>
          <t>Feelings (1968)</t>
        </is>
      </c>
      <c r="R109" s="5" t="inlineStr"/>
      <c r="S109" s="5" t="inlineStr">
        <is>
          <t>Wikipedia : plus gros succès lituanien de l'histoire, 1er du box-office 2025 en Lituanie. Sortie 24/01/2025 (festival nov. 2024). Premier week-end : 57 948 entrées, 453 455 EUR. Pas de cumul sourcé, pas de deuxième.</t>
        </is>
      </c>
    </row>
    <row r="110">
      <c r="A110" s="3" t="inlineStr">
        <is>
          <t>Luxembourg</t>
        </is>
      </c>
      <c r="B110" s="3" t="inlineStr">
        <is>
          <t>Europe</t>
        </is>
      </c>
      <c r="C110" s="9" t="inlineStr">
        <is>
          <t>C</t>
        </is>
      </c>
      <c r="D110" s="3" t="inlineStr">
        <is>
          <t>faible (choix éditorial, pas d'audience)</t>
        </is>
      </c>
      <c r="E110" s="3" t="inlineStr">
        <is>
          <t>Baby(a)lone</t>
        </is>
      </c>
      <c r="F110" s="3" t="inlineStr">
        <is>
          <t>Baby(a)lone</t>
        </is>
      </c>
      <c r="G110" s="3" t="inlineStr">
        <is>
          <t>2015</t>
        </is>
      </c>
      <c r="H110" s="3" t="inlineStr">
        <is>
          <t>lb</t>
        </is>
      </c>
      <c r="I110" s="3" t="inlineStr"/>
      <c r="J110" s="3" t="n">
        <v>90</v>
      </c>
      <c r="K110" s="5" t="inlineStr">
        <is>
          <t>choix « native » de Films Around the World</t>
        </is>
      </c>
      <c r="L110" s="5" t="inlineStr"/>
      <c r="M110" s="6" t="inlineStr">
        <is>
          <t>https://filmsaroundthe.world/country/luxembourg/films/baby-a-lone-f0e976aa6d7ac0ecd/</t>
        </is>
      </c>
      <c r="N110" s="6" t="inlineStr">
        <is>
          <t>https://www.themoviedb.org/movie/330847</t>
        </is>
      </c>
      <c r="O110" s="5" t="inlineStr"/>
      <c r="P110" s="5" t="inlineStr"/>
      <c r="Q110" s="5" t="inlineStr">
        <is>
          <t>Baby(a)lone (2015)</t>
        </is>
      </c>
      <c r="R110" s="5" t="inlineStr"/>
      <c r="S110" s="5" t="inlineStr">
        <is>
          <t>Pas de donnée sourcée. / Pas de donnée sourcée.</t>
        </is>
      </c>
    </row>
    <row r="111">
      <c r="A111" s="3" t="inlineStr">
        <is>
          <t>Macédoine du Nord</t>
        </is>
      </c>
      <c r="B111" s="3" t="inlineStr">
        <is>
          <t>Europe</t>
        </is>
      </c>
      <c r="C111" s="7" t="inlineStr">
        <is>
          <t>A</t>
        </is>
      </c>
      <c r="D111" s="3" t="inlineStr">
        <is>
          <t>forte</t>
        </is>
      </c>
      <c r="E111" s="3" t="inlineStr">
        <is>
          <t>Бал-Кан-Кан</t>
        </is>
      </c>
      <c r="F111" s="3" t="inlineStr">
        <is>
          <t>Bal-Can-Can</t>
        </is>
      </c>
      <c r="G111" s="3" t="inlineStr">
        <is>
          <t>2005</t>
        </is>
      </c>
      <c r="H111" s="3" t="inlineStr">
        <is>
          <t>mk</t>
        </is>
      </c>
      <c r="I111" s="3" t="inlineStr"/>
      <c r="J111" s="3" t="n">
        <v>89</v>
      </c>
      <c r="K111" s="5" t="inlineStr">
        <is>
          <t>entrées : plus de 500 000 (première année)</t>
        </is>
      </c>
      <c r="L111" s="5" t="inlineStr"/>
      <c r="M111" s="6" t="inlineStr">
        <is>
          <t>https://en.wikipedia.org/wiki/Cinema_of_North_Macedonia</t>
        </is>
      </c>
      <c r="N111" s="6" t="inlineStr">
        <is>
          <t>https://www.themoviedb.org/movie/57218</t>
        </is>
      </c>
      <c r="O111" s="5" t="inlineStr"/>
      <c r="P111" s="5" t="inlineStr">
        <is>
          <t>Диџеј Ахмет (2025, 47 votes)</t>
        </is>
      </c>
      <c r="Q111" s="5" t="inlineStr">
        <is>
          <t>Before the Rain (1994)</t>
        </is>
      </c>
      <c r="R111" s="5" t="inlineStr"/>
      <c r="S111" s="5" t="inlineStr">
        <is>
          <t>Source faible : une phrase Wikipedia 'highest-grossing feature film in North Macedonia', sans classement ni deuxième. À prendre avec prudence.</t>
        </is>
      </c>
    </row>
    <row r="112">
      <c r="A112" s="3" t="inlineStr">
        <is>
          <t>Madagascar</t>
        </is>
      </c>
      <c r="B112" s="3" t="inlineStr">
        <is>
          <t>Afrique</t>
        </is>
      </c>
      <c r="C112" s="9" t="inlineStr">
        <is>
          <t>C</t>
        </is>
      </c>
      <c r="D112" s="3" t="inlineStr">
        <is>
          <t>faible (choix éditorial, pas d'audience)</t>
        </is>
      </c>
      <c r="E112" s="3" t="inlineStr">
        <is>
          <t>Tabataba</t>
        </is>
      </c>
      <c r="F112" s="3" t="inlineStr">
        <is>
          <t>Tabataba</t>
        </is>
      </c>
      <c r="G112" s="3" t="inlineStr">
        <is>
          <t>1989</t>
        </is>
      </c>
      <c r="H112" s="3" t="inlineStr">
        <is>
          <t>mg</t>
        </is>
      </c>
      <c r="I112" s="3" t="inlineStr"/>
      <c r="J112" s="3" t="n">
        <v>76</v>
      </c>
      <c r="K112" s="5" t="inlineStr">
        <is>
          <t>choix « native » de Films Around the World</t>
        </is>
      </c>
      <c r="L112" s="5" t="inlineStr"/>
      <c r="M112" s="6" t="inlineStr">
        <is>
          <t>https://filmsaroundthe.world/country/madagascar/films/tabataba-f670d6d0801fbea65/</t>
        </is>
      </c>
      <c r="N112" s="6" t="inlineStr">
        <is>
          <t>https://www.themoviedb.org/movie/266418</t>
        </is>
      </c>
      <c r="O112" s="5" t="inlineStr"/>
      <c r="P112" s="5" t="inlineStr">
        <is>
          <t>Quand les étoiles rencontrent la mer (1996, 3 votes)</t>
        </is>
      </c>
      <c r="Q112" s="5" t="inlineStr">
        <is>
          <t>Tabataba (1989)</t>
        </is>
      </c>
      <c r="R112" s="5" t="inlineStr"/>
      <c r="S112" s="5" t="inlineStr">
        <is>
          <t>pas de box-office national suivi ou publié trouvé</t>
        </is>
      </c>
    </row>
    <row r="113">
      <c r="A113" s="3" t="inlineStr">
        <is>
          <t>Malaisie</t>
        </is>
      </c>
      <c r="B113" s="3" t="inlineStr">
        <is>
          <t>Asie</t>
        </is>
      </c>
      <c r="C113" s="7" t="inlineStr">
        <is>
          <t>A</t>
        </is>
      </c>
      <c r="D113" s="3" t="inlineStr">
        <is>
          <t>bonne</t>
        </is>
      </c>
      <c r="E113" s="3" t="inlineStr">
        <is>
          <t>Mat Kilau: Kebangkitan Pahlawan</t>
        </is>
      </c>
      <c r="F113" s="3" t="inlineStr">
        <is>
          <t>Mat Kilau: Kebangkitan Pahlawan</t>
        </is>
      </c>
      <c r="G113" s="3" t="inlineStr">
        <is>
          <t>2022</t>
        </is>
      </c>
      <c r="H113" s="3" t="inlineStr">
        <is>
          <t>ms</t>
        </is>
      </c>
      <c r="I113" s="3" t="inlineStr"/>
      <c r="J113" s="3" t="n">
        <v>117</v>
      </c>
      <c r="K113" s="5" t="inlineStr">
        <is>
          <t>recettes nationales : RM97,420,000</t>
        </is>
      </c>
      <c r="L113" s="5" t="inlineStr">
        <is>
          <t>abonnement : Netflix, Netflix Standard with Ads</t>
        </is>
      </c>
      <c r="M113" s="6" t="inlineStr">
        <is>
          <t>https://en.wikipedia.org/wiki/List_of_highest-grossing_films_in_Malaysia</t>
        </is>
      </c>
      <c r="N113" s="6" t="inlineStr">
        <is>
          <t>https://www.themoviedb.org/movie/988595</t>
        </is>
      </c>
      <c r="O113" s="5" t="inlineStr">
        <is>
          <t>Blood Brothers: Bara Naga (2025, RM76M)</t>
        </is>
      </c>
      <c r="P113" s="5" t="inlineStr">
        <is>
          <t>Don't Look at the Demon (2022, 104 votes)</t>
        </is>
      </c>
      <c r="Q113" s="5" t="inlineStr">
        <is>
          <t>PASKAL (2018)</t>
        </is>
      </c>
      <c r="R113" s="5" t="inlineStr"/>
      <c r="S113" s="5" t="inlineStr"/>
    </row>
    <row r="114">
      <c r="A114" s="3" t="inlineStr">
        <is>
          <t>Malawi</t>
        </is>
      </c>
      <c r="B114" s="3" t="inlineStr">
        <is>
          <t>Afrique</t>
        </is>
      </c>
      <c r="C114" s="9" t="inlineStr">
        <is>
          <t>C</t>
        </is>
      </c>
      <c r="D114" s="3" t="inlineStr">
        <is>
          <t>faible (choix éditorial, pas d'audience)</t>
        </is>
      </c>
      <c r="E114" s="3" t="inlineStr">
        <is>
          <t>The Road to Sunrise</t>
        </is>
      </c>
      <c r="F114" s="3" t="inlineStr">
        <is>
          <t>The Road to Sunrise</t>
        </is>
      </c>
      <c r="G114" s="3" t="inlineStr">
        <is>
          <t>2017</t>
        </is>
      </c>
      <c r="H114" s="3" t="inlineStr">
        <is>
          <t>en</t>
        </is>
      </c>
      <c r="I114" s="3" t="inlineStr"/>
      <c r="J114" s="3" t="n">
        <v>130</v>
      </c>
      <c r="K114" s="5" t="inlineStr">
        <is>
          <t>choix « native » de Films Around the World</t>
        </is>
      </c>
      <c r="L114" s="5" t="inlineStr"/>
      <c r="M114" s="6" t="inlineStr">
        <is>
          <t>https://filmsaroundthe.world/</t>
        </is>
      </c>
      <c r="N114" s="6" t="inlineStr">
        <is>
          <t>https://www.themoviedb.org/movie/505061</t>
        </is>
      </c>
      <c r="O114" s="5" t="inlineStr"/>
      <c r="P114" s="5" t="inlineStr">
        <is>
          <t>The Boy Who Harnessed the Wind (2019, 1934 votes)</t>
        </is>
      </c>
      <c r="Q114" s="5" t="inlineStr">
        <is>
          <t>The Road to Sunrise (2017)</t>
        </is>
      </c>
      <c r="R114" s="5" t="inlineStr"/>
      <c r="S114" s="5" t="inlineStr">
        <is>
          <t>Arbitrage manuel : TMDB proposait Le Garçon qui dompta le vent, production britannique (C. Ejiofor), tournée au Malawi. pas de box-office national suivi ou publié trouvé</t>
        </is>
      </c>
    </row>
    <row r="115">
      <c r="A115" s="3" t="inlineStr">
        <is>
          <t>Maldives</t>
        </is>
      </c>
      <c r="B115" s="3" t="inlineStr">
        <is>
          <t>Asie</t>
        </is>
      </c>
      <c r="C115" s="9" t="inlineStr">
        <is>
          <t>C</t>
        </is>
      </c>
      <c r="D115" s="3" t="inlineStr">
        <is>
          <t>faible (choix éditorial, pas d'audience)</t>
        </is>
      </c>
      <c r="E115" s="3" t="inlineStr">
        <is>
          <t>ދެރިޔާ</t>
        </is>
      </c>
      <c r="F115" s="3" t="inlineStr">
        <is>
          <t>ދެރިޔާ</t>
        </is>
      </c>
      <c r="G115" s="3" t="inlineStr">
        <is>
          <t>1994</t>
        </is>
      </c>
      <c r="H115" s="3" t="inlineStr">
        <is>
          <t>dv</t>
        </is>
      </c>
      <c r="I115" s="3" t="inlineStr"/>
      <c r="J115" s="3" t="n">
        <v>194</v>
      </c>
      <c r="K115" s="5" t="inlineStr">
        <is>
          <t>choix « native » de Films Around the World</t>
        </is>
      </c>
      <c r="L115" s="5" t="inlineStr"/>
      <c r="M115" s="6" t="inlineStr">
        <is>
          <t>https://filmsaroundthe.world/country/maldives/films/dheriyaa-fd7325e081b004662/</t>
        </is>
      </c>
      <c r="N115" s="6" t="inlineStr">
        <is>
          <t>https://www.themoviedb.org/movie/470973</t>
        </is>
      </c>
      <c r="O115" s="5" t="inlineStr"/>
      <c r="P115" s="5" t="inlineStr">
        <is>
          <t>Samra (2026, 1 votes)</t>
        </is>
      </c>
      <c r="Q115" s="5" t="inlineStr">
        <is>
          <t>Dheriyaa (1994)</t>
        </is>
      </c>
      <c r="R115" s="5" t="inlineStr"/>
      <c r="S115" s="5" t="inlineStr">
        <is>
          <t>No sourced box office data.</t>
        </is>
      </c>
    </row>
    <row r="116">
      <c r="A116" s="3" t="inlineStr">
        <is>
          <t>Mali</t>
        </is>
      </c>
      <c r="B116" s="3" t="inlineStr">
        <is>
          <t>Afrique</t>
        </is>
      </c>
      <c r="C116" s="9" t="inlineStr">
        <is>
          <t>C</t>
        </is>
      </c>
      <c r="D116" s="3" t="inlineStr">
        <is>
          <t>faible (choix éditorial, pas d'audience)</t>
        </is>
      </c>
      <c r="E116" s="3" t="inlineStr">
        <is>
          <t>Yeelen</t>
        </is>
      </c>
      <c r="F116" s="3" t="inlineStr">
        <is>
          <t>Yeelen</t>
        </is>
      </c>
      <c r="G116" s="3" t="inlineStr">
        <is>
          <t>1987</t>
        </is>
      </c>
      <c r="H116" s="3" t="inlineStr">
        <is>
          <t>bm</t>
        </is>
      </c>
      <c r="I116" s="3" t="inlineStr"/>
      <c r="J116" s="3" t="n">
        <v>105</v>
      </c>
      <c r="K116" s="5" t="inlineStr">
        <is>
          <t>choix « native » de Films Around the World</t>
        </is>
      </c>
      <c r="L116" s="5" t="inlineStr">
        <is>
          <t>location : LaCinetek ; achat : LaCinetek</t>
        </is>
      </c>
      <c r="M116" s="6" t="inlineStr">
        <is>
          <t>https://filmsaroundthe.world/country/mali/films/yeelen-f64ddce36d2fa08fa/</t>
        </is>
      </c>
      <c r="N116" s="6" t="inlineStr">
        <is>
          <t>https://www.themoviedb.org/movie/71329</t>
        </is>
      </c>
      <c r="O116" s="5" t="inlineStr"/>
      <c r="P116" s="5" t="inlineStr">
        <is>
          <t>Taafé Fanga (1997, 6 votes)</t>
        </is>
      </c>
      <c r="Q116" s="5" t="inlineStr">
        <is>
          <t>Yeelen (1987)</t>
        </is>
      </c>
      <c r="R116" s="5" t="inlineStr"/>
      <c r="S116" s="5" t="inlineStr">
        <is>
          <t>pas de box-office national suivi ou publié trouvé</t>
        </is>
      </c>
    </row>
    <row r="117">
      <c r="A117" s="3" t="inlineStr">
        <is>
          <t>Malte</t>
        </is>
      </c>
      <c r="B117" s="3" t="inlineStr">
        <is>
          <t>Europe</t>
        </is>
      </c>
      <c r="C117" s="4" t="inlineStr">
        <is>
          <t>B</t>
        </is>
      </c>
      <c r="D117" s="3" t="inlineStr">
        <is>
          <t>moyenne</t>
        </is>
      </c>
      <c r="E117" s="3" t="inlineStr">
        <is>
          <t>The Boat</t>
        </is>
      </c>
      <c r="F117" s="3" t="inlineStr">
        <is>
          <t>The Boat</t>
        </is>
      </c>
      <c r="G117" s="3" t="inlineStr">
        <is>
          <t>2019</t>
        </is>
      </c>
      <c r="H117" s="3" t="inlineStr">
        <is>
          <t>en</t>
        </is>
      </c>
      <c r="I117" s="3" t="inlineStr"/>
      <c r="J117" s="3" t="n">
        <v>100</v>
      </c>
      <c r="K117" s="5" t="inlineStr">
        <is>
          <t>popularité TMDB : 146 votes</t>
        </is>
      </c>
      <c r="L117" s="5" t="inlineStr">
        <is>
          <t>location : Apple TV Store, Rakuten TV, Canal VOD, Sooner ; achat : Apple TV Store, YouTube, Rakuten TV, Canal VOD</t>
        </is>
      </c>
      <c r="M117" s="6" t="inlineStr">
        <is>
          <t>https://www.themoviedb.org/movie/543915</t>
        </is>
      </c>
      <c r="N117" s="6" t="inlineStr">
        <is>
          <t>https://www.themoviedb.org/movie/543915</t>
        </is>
      </c>
      <c r="O117" s="5" t="inlineStr"/>
      <c r="P117" s="5" t="inlineStr">
        <is>
          <t>The Boat (2019, 146 votes)</t>
        </is>
      </c>
      <c r="Q117" s="5" t="inlineStr">
        <is>
          <t>Luzzu (2021)</t>
        </is>
      </c>
      <c r="R117" s="5" t="inlineStr"/>
      <c r="S117" s="5" t="inlineStr">
        <is>
          <t>Pas de donnée sourcée. / Pas de donnée sourcée.</t>
        </is>
      </c>
    </row>
    <row r="118">
      <c r="A118" s="3" t="inlineStr">
        <is>
          <t>Maroc</t>
        </is>
      </c>
      <c r="B118" s="3" t="inlineStr">
        <is>
          <t>Afrique</t>
        </is>
      </c>
      <c r="C118" s="7" t="inlineStr">
        <is>
          <t>A</t>
        </is>
      </c>
      <c r="D118" s="3" t="inlineStr">
        <is>
          <t>forte</t>
        </is>
      </c>
      <c r="E118" s="3" t="inlineStr">
        <is>
          <t>جوج رواح (Jouj Rouah)</t>
        </is>
      </c>
      <c r="F118" s="3" t="inlineStr"/>
      <c r="G118" s="3" t="inlineStr">
        <is>
          <t>2026</t>
        </is>
      </c>
      <c r="H118" s="3" t="inlineStr">
        <is>
          <t>ar</t>
        </is>
      </c>
      <c r="I118" s="3" t="inlineStr"/>
      <c r="J118" s="3" t="inlineStr"/>
      <c r="K118" s="5" t="inlineStr">
        <is>
          <t>entrées : 500 000+ (annoncé par le CCM)</t>
        </is>
      </c>
      <c r="L118" s="5" t="inlineStr"/>
      <c r="M118" s="6" t="inlineStr">
        <is>
          <t>https://www.lodj.ma/Jouj-Rouah-depasse-le-cap-des-500-000-spectateurs-et-marque-un-tournant-dans-l-histoire-du-cinema-marocain_a175135.html</t>
        </is>
      </c>
      <c r="N118" s="5" t="inlineStr"/>
      <c r="O118" s="5" t="inlineStr">
        <is>
          <t>La Route vers Kaboul (2012) ~410 000 entrées</t>
        </is>
      </c>
      <c r="P118" s="5" t="inlineStr">
        <is>
          <t>Casanegra (2008, 19 votes)</t>
        </is>
      </c>
      <c r="Q118" s="5" t="inlineStr">
        <is>
          <t>Wechma (1970)</t>
        </is>
      </c>
      <c r="R118" s="5" t="inlineStr"/>
      <c r="S118" s="5" t="inlineStr">
        <is>
          <t>Réal. Alaa Akaaboune, darija. Chiffre arrondi, film encore en salles au moment des articles ; Le Bleu du caftan dépasse 500 000 entrées mondiales mais pas au Maroc.</t>
        </is>
      </c>
    </row>
    <row r="119">
      <c r="A119" s="3" t="inlineStr">
        <is>
          <t>Mauritanie</t>
        </is>
      </c>
      <c r="B119" s="3" t="inlineStr">
        <is>
          <t>Afrique</t>
        </is>
      </c>
      <c r="C119" s="9" t="inlineStr">
        <is>
          <t>C</t>
        </is>
      </c>
      <c r="D119" s="3" t="inlineStr">
        <is>
          <t>faible (choix éditorial, pas d'audience)</t>
        </is>
      </c>
      <c r="E119" s="3" t="inlineStr">
        <is>
          <t>Heremakono</t>
        </is>
      </c>
      <c r="F119" s="3" t="inlineStr">
        <is>
          <t>En attendant le bonheur</t>
        </is>
      </c>
      <c r="G119" s="3" t="inlineStr">
        <is>
          <t>2002</t>
        </is>
      </c>
      <c r="H119" s="3" t="inlineStr">
        <is>
          <t>fr</t>
        </is>
      </c>
      <c r="I119" s="3" t="inlineStr"/>
      <c r="J119" s="3" t="n">
        <v>91</v>
      </c>
      <c r="K119" s="5" t="inlineStr">
        <is>
          <t>choix « native » de Films Around the World</t>
        </is>
      </c>
      <c r="L119" s="5" t="inlineStr"/>
      <c r="M119" s="6" t="inlineStr">
        <is>
          <t>https://filmsaroundthe.world/country/mauritania/films/waiting-for-happiness-fe84e424ab94278cf/</t>
        </is>
      </c>
      <c r="N119" s="6" t="inlineStr">
        <is>
          <t>https://www.themoviedb.org/movie/47226</t>
        </is>
      </c>
      <c r="O119" s="5" t="inlineStr"/>
      <c r="P119" s="5" t="inlineStr">
        <is>
          <t>Le jeu (1991, 8 votes)</t>
        </is>
      </c>
      <c r="Q119" s="5" t="inlineStr">
        <is>
          <t>Waiting for Happiness (2002)</t>
        </is>
      </c>
      <c r="R119" s="5" t="inlineStr"/>
      <c r="S119" s="5" t="inlineStr">
        <is>
          <t>pas de box-office national suivi ou publié trouvé</t>
        </is>
      </c>
    </row>
    <row r="120">
      <c r="A120" s="3" t="inlineStr">
        <is>
          <t>Mexique</t>
        </is>
      </c>
      <c r="B120" s="3" t="inlineStr">
        <is>
          <t>Amériques</t>
        </is>
      </c>
      <c r="C120" s="7" t="inlineStr">
        <is>
          <t>A</t>
        </is>
      </c>
      <c r="D120" s="3" t="inlineStr">
        <is>
          <t>forte</t>
        </is>
      </c>
      <c r="E120" s="3" t="inlineStr">
        <is>
          <t>No se aceptan devoluciones</t>
        </is>
      </c>
      <c r="F120" s="3" t="inlineStr">
        <is>
          <t>Ni repris ni échangé</t>
        </is>
      </c>
      <c r="G120" s="3" t="inlineStr">
        <is>
          <t>2013</t>
        </is>
      </c>
      <c r="H120" s="3" t="inlineStr">
        <is>
          <t>es</t>
        </is>
      </c>
      <c r="I120" s="3" t="inlineStr"/>
      <c r="J120" s="3" t="n">
        <v>117</v>
      </c>
      <c r="K120" s="5" t="inlineStr">
        <is>
          <t>entrées : 15 201 188</t>
        </is>
      </c>
      <c r="L120" s="5" t="inlineStr">
        <is>
          <t>abonnement : Amazon Prime Video, Molotov TV, Amazon Prime Video with Ads ; location : Apple TV Store, Orange VOD, YouTube ; achat : Apple TV Store, Orange VOD, YouTube</t>
        </is>
      </c>
      <c r="M120" s="6" t="inlineStr">
        <is>
          <t>https://en.wikipedia.org/wiki/List_of_highest-grossing_Mexican_films</t>
        </is>
      </c>
      <c r="N120" s="6" t="inlineStr">
        <is>
          <t>https://www.themoviedb.org/movie/211954</t>
        </is>
      </c>
      <c r="O120" s="5" t="inlineStr">
        <is>
          <t>Nosotros los Nobles (2013), 7 136 680</t>
        </is>
      </c>
      <c r="P120" s="5" t="inlineStr">
        <is>
          <t>El laberinto del fauno (2006, 11849 votes)</t>
        </is>
      </c>
      <c r="Q120" s="5" t="inlineStr">
        <is>
          <t>Roma (2018)</t>
        </is>
      </c>
      <c r="R120" s="5" t="inlineStr"/>
      <c r="S120" s="5" t="inlineStr">
        <is>
          <t>Recettes 600 377 842 MXN. Liste Wikipedia basée sur les données IMCINE.</t>
        </is>
      </c>
    </row>
    <row r="121">
      <c r="A121" s="3" t="inlineStr">
        <is>
          <t>Micronésie</t>
        </is>
      </c>
      <c r="B121" s="3" t="inlineStr">
        <is>
          <t>Océanie</t>
        </is>
      </c>
      <c r="C121" s="10" t="inlineStr">
        <is>
          <t>-</t>
        </is>
      </c>
      <c r="D121" s="3" t="inlineStr">
        <is>
          <t>aucun film trouvé</t>
        </is>
      </c>
      <c r="E121" s="3" t="inlineStr"/>
      <c r="F121" s="3" t="inlineStr"/>
      <c r="G121" s="3" t="inlineStr"/>
      <c r="H121" s="3" t="inlineStr"/>
      <c r="I121" s="3" t="inlineStr"/>
      <c r="J121" s="3" t="inlineStr"/>
      <c r="K121" s="5" t="inlineStr"/>
      <c r="L121" s="5" t="inlineStr"/>
      <c r="M121" s="5" t="inlineStr"/>
      <c r="N121" s="5" t="inlineStr"/>
      <c r="O121" s="5" t="inlineStr"/>
      <c r="P121" s="5" t="inlineStr"/>
      <c r="Q121" s="5" t="inlineStr"/>
      <c r="R121" s="5" t="inlineStr"/>
      <c r="S121" s="5" t="inlineStr">
        <is>
          <t>No sourced box office data.</t>
        </is>
      </c>
    </row>
    <row r="122">
      <c r="A122" s="3" t="inlineStr">
        <is>
          <t>Moldavie</t>
        </is>
      </c>
      <c r="B122" s="3" t="inlineStr">
        <is>
          <t>Europe</t>
        </is>
      </c>
      <c r="C122" s="7" t="inlineStr">
        <is>
          <t>A</t>
        </is>
      </c>
      <c r="D122" s="3" t="inlineStr">
        <is>
          <t>forte</t>
        </is>
      </c>
      <c r="E122" s="3" t="inlineStr">
        <is>
          <t>Carbon</t>
        </is>
      </c>
      <c r="F122" s="3" t="inlineStr">
        <is>
          <t>Carbon</t>
        </is>
      </c>
      <c r="G122" s="3" t="inlineStr">
        <is>
          <t>2022</t>
        </is>
      </c>
      <c r="H122" s="3" t="inlineStr">
        <is>
          <t>ro</t>
        </is>
      </c>
      <c r="I122" s="3" t="inlineStr"/>
      <c r="J122" s="3" t="n">
        <v>103</v>
      </c>
      <c r="K122" s="5" t="inlineStr">
        <is>
          <t>entrées : non chiffré</t>
        </is>
      </c>
      <c r="L122" s="5" t="inlineStr"/>
      <c r="M122" s="6" t="inlineStr">
        <is>
          <t>https://en.wikipedia.org/wiki/Cinema_of_Moldova</t>
        </is>
      </c>
      <c r="N122" s="6" t="inlineStr">
        <is>
          <t>https://www.themoviedb.org/movie/865577</t>
        </is>
      </c>
      <c r="O122" s="5" t="inlineStr"/>
      <c r="P122" s="5" t="inlineStr">
        <is>
          <t>Jana (2004, 3 votes)</t>
        </is>
      </c>
      <c r="Q122" s="5" t="inlineStr">
        <is>
          <t>Fiddlers (1973)</t>
        </is>
      </c>
      <c r="R122" s="5" t="inlineStr"/>
      <c r="S122" s="5" t="inlineStr">
        <is>
          <t>Source faible : Wikipedia dit 'film moldave le plus réussi' (en 2024), sans entrées. Coproduction moldave tournée en roumain. À vérifier.</t>
        </is>
      </c>
    </row>
    <row r="123">
      <c r="A123" s="3" t="inlineStr">
        <is>
          <t>Monaco</t>
        </is>
      </c>
      <c r="B123" s="3" t="inlineStr">
        <is>
          <t>Europe</t>
        </is>
      </c>
      <c r="C123" s="8" t="inlineStr">
        <is>
          <t>D</t>
        </is>
      </c>
      <c r="D123" s="3" t="inlineStr">
        <is>
          <t>très faible (moins de 50 votes)</t>
        </is>
      </c>
      <c r="E123" s="3" t="inlineStr">
        <is>
          <t>Les Ballets de Monte Carlo: Le Songe</t>
        </is>
      </c>
      <c r="F123" s="3" t="inlineStr">
        <is>
          <t>Les Ballets de Monte Carlo: Le Songe</t>
        </is>
      </c>
      <c r="G123" s="3" t="inlineStr">
        <is>
          <t>2011</t>
        </is>
      </c>
      <c r="H123" s="3" t="inlineStr">
        <is>
          <t>fr</t>
        </is>
      </c>
      <c r="I123" s="3" t="inlineStr"/>
      <c r="J123" s="3" t="n">
        <v>101</v>
      </c>
      <c r="K123" s="5" t="inlineStr">
        <is>
          <t>popularité TMDB : 0 votes</t>
        </is>
      </c>
      <c r="L123" s="5" t="inlineStr"/>
      <c r="M123" s="6" t="inlineStr">
        <is>
          <t>https://www.themoviedb.org/movie/922617</t>
        </is>
      </c>
      <c r="N123" s="6" t="inlineStr">
        <is>
          <t>https://www.themoviedb.org/movie/922617</t>
        </is>
      </c>
      <c r="O123" s="5" t="inlineStr"/>
      <c r="P123" s="5" t="inlineStr">
        <is>
          <t>Les Ballets de Monte Carlo: Le Songe (2011, 0 votes)</t>
        </is>
      </c>
      <c r="Q123" s="5" t="inlineStr"/>
      <c r="R123" s="5" t="inlineStr"/>
      <c r="S123" s="5" t="inlineStr">
        <is>
          <t>Pas d'industrie nationale.</t>
        </is>
      </c>
    </row>
    <row r="124">
      <c r="A124" s="3" t="inlineStr">
        <is>
          <t>Mongolie</t>
        </is>
      </c>
      <c r="B124" s="3" t="inlineStr">
        <is>
          <t>Asie</t>
        </is>
      </c>
      <c r="C124" s="4" t="inlineStr">
        <is>
          <t>B</t>
        </is>
      </c>
      <c r="D124" s="3" t="inlineStr">
        <is>
          <t>moyenne</t>
        </is>
      </c>
      <c r="E124" s="3" t="inlineStr">
        <is>
          <t>Хотулун гүнж: Алтан судрын эрэлд</t>
        </is>
      </c>
      <c r="F124" s="3" t="inlineStr">
        <is>
          <t>Khutulun La princesse guerrière</t>
        </is>
      </c>
      <c r="G124" s="3" t="inlineStr">
        <is>
          <t>2021</t>
        </is>
      </c>
      <c r="H124" s="3" t="inlineStr">
        <is>
          <t>mn</t>
        </is>
      </c>
      <c r="I124" s="3" t="inlineStr"/>
      <c r="J124" s="3" t="n">
        <v>108</v>
      </c>
      <c r="K124" s="5" t="inlineStr">
        <is>
          <t>popularité TMDB : 133 votes</t>
        </is>
      </c>
      <c r="L124" s="5" t="inlineStr">
        <is>
          <t>abonnement : Amazon Prime Video, Amazon Prime Video with Ads ; location : Apple TV Store, Canal VOD, Sooner ; achat : Apple TV Store, Canal VOD, Sooner</t>
        </is>
      </c>
      <c r="M124" s="6" t="inlineStr">
        <is>
          <t>https://www.themoviedb.org/movie/960481</t>
        </is>
      </c>
      <c r="N124" s="6" t="inlineStr">
        <is>
          <t>https://www.themoviedb.org/movie/960481</t>
        </is>
      </c>
      <c r="O124" s="5" t="inlineStr"/>
      <c r="P124" s="5" t="inlineStr">
        <is>
          <t>Хотулун гүнж: Алтан судрын эрэлд (2021, 133 votes)</t>
        </is>
      </c>
      <c r="Q124" s="5" t="inlineStr">
        <is>
          <t>Tsogt Taij (1945)</t>
        </is>
      </c>
      <c r="R124" s="5" t="inlineStr"/>
      <c r="S124" s="5" t="inlineStr">
        <is>
          <t>Pas de source fiable confirmée. Le fil Reddit « The Box-Office in Mongolia » (2024, page bloquée, seul l'extrait de recherche lu) liste Баян бөөл 296 915 et Zura 2 282 172 entrées juste derrière Avatar: The Way of Water (306 925). Année et statut de plus gros succès national non vérifiés. Ancien classement presse (gogo.mn) : Urgeeleg, 433 M MNT, 2014 seulement. / Only 2013/2014 annual lists found, no all-time ranking.</t>
        </is>
      </c>
    </row>
    <row r="125">
      <c r="A125" s="3" t="inlineStr">
        <is>
          <t>Monténégro</t>
        </is>
      </c>
      <c r="B125" s="3" t="inlineStr">
        <is>
          <t>Europe</t>
        </is>
      </c>
      <c r="C125" s="9" t="inlineStr">
        <is>
          <t>C</t>
        </is>
      </c>
      <c r="D125" s="3" t="inlineStr">
        <is>
          <t>faible (choix éditorial, pas d'audience)</t>
        </is>
      </c>
      <c r="E125" s="3" t="inlineStr">
        <is>
          <t>Obraz</t>
        </is>
      </c>
      <c r="F125" s="3" t="inlineStr">
        <is>
          <t>Obraz</t>
        </is>
      </c>
      <c r="G125" s="3" t="inlineStr">
        <is>
          <t>2024</t>
        </is>
      </c>
      <c r="H125" s="3" t="inlineStr">
        <is>
          <t>sh</t>
        </is>
      </c>
      <c r="I125" s="3" t="inlineStr"/>
      <c r="J125" s="3" t="n">
        <v>97</v>
      </c>
      <c r="K125" s="5" t="inlineStr">
        <is>
          <t>choix « native » de Films Around the World</t>
        </is>
      </c>
      <c r="L125" s="5" t="inlineStr"/>
      <c r="M125" s="6" t="inlineStr">
        <is>
          <t>https://filmsaroundthe.world/country/montenegro/films/the-tower-of-strength-f1fa396c80e78c442/</t>
        </is>
      </c>
      <c r="N125" s="6" t="inlineStr">
        <is>
          <t>https://www.themoviedb.org/movie/1353581</t>
        </is>
      </c>
      <c r="O125" s="5" t="inlineStr"/>
      <c r="P125" s="5" t="inlineStr">
        <is>
          <t>As pik - Loša sudbina (2012, 7 votes)</t>
        </is>
      </c>
      <c r="Q125" s="5" t="inlineStr">
        <is>
          <t>The Tower of Strength (2024)</t>
        </is>
      </c>
      <c r="R125" s="5" t="inlineStr"/>
      <c r="S125" s="5" t="inlineStr">
        <is>
          <t>Pas de donnée sourcée. / Pas de donnée sourcée.</t>
        </is>
      </c>
    </row>
    <row r="126">
      <c r="A126" s="3" t="inlineStr">
        <is>
          <t>Mozambique</t>
        </is>
      </c>
      <c r="B126" s="3" t="inlineStr">
        <is>
          <t>Afrique</t>
        </is>
      </c>
      <c r="C126" s="8" t="inlineStr">
        <is>
          <t>D</t>
        </is>
      </c>
      <c r="D126" s="3" t="inlineStr">
        <is>
          <t>très faible (moins de 50 votes)</t>
        </is>
      </c>
      <c r="E126" s="3" t="inlineStr">
        <is>
          <t>Comboio de Sal e Açucar</t>
        </is>
      </c>
      <c r="F126" s="3" t="inlineStr">
        <is>
          <t>Le train de sel et de sucre</t>
        </is>
      </c>
      <c r="G126" s="3" t="inlineStr">
        <is>
          <t>2016</t>
        </is>
      </c>
      <c r="H126" s="3" t="inlineStr">
        <is>
          <t>pt</t>
        </is>
      </c>
      <c r="I126" s="3" t="inlineStr"/>
      <c r="J126" s="3" t="n">
        <v>93</v>
      </c>
      <c r="K126" s="5" t="inlineStr">
        <is>
          <t>popularité TMDB : 10 votes</t>
        </is>
      </c>
      <c r="L126" s="5" t="inlineStr"/>
      <c r="M126" s="6" t="inlineStr">
        <is>
          <t>https://www.themoviedb.org/movie/408296</t>
        </is>
      </c>
      <c r="N126" s="6" t="inlineStr">
        <is>
          <t>https://www.themoviedb.org/movie/408296</t>
        </is>
      </c>
      <c r="O126" s="5" t="inlineStr"/>
      <c r="P126" s="5" t="inlineStr">
        <is>
          <t>Comboio de Sal e Açucar (2016, 10 votes)</t>
        </is>
      </c>
      <c r="Q126" s="5" t="inlineStr">
        <is>
          <t>Mueda, Memory and Massacre (1979)</t>
        </is>
      </c>
      <c r="R126" s="5" t="inlineStr"/>
      <c r="S126" s="5" t="inlineStr">
        <is>
          <t>pas de box-office national suivi ou publié trouvé</t>
        </is>
      </c>
    </row>
    <row r="127">
      <c r="A127" s="3" t="inlineStr">
        <is>
          <t>Namibie</t>
        </is>
      </c>
      <c r="B127" s="3" t="inlineStr">
        <is>
          <t>Afrique</t>
        </is>
      </c>
      <c r="C127" s="9" t="inlineStr">
        <is>
          <t>C</t>
        </is>
      </c>
      <c r="D127" s="3" t="inlineStr">
        <is>
          <t>faible (choix éditorial, pas d'audience)</t>
        </is>
      </c>
      <c r="E127" s="3" t="inlineStr">
        <is>
          <t>Katutura</t>
        </is>
      </c>
      <c r="F127" s="3" t="inlineStr">
        <is>
          <t>Katutura</t>
        </is>
      </c>
      <c r="G127" s="3" t="inlineStr">
        <is>
          <t>2015</t>
        </is>
      </c>
      <c r="H127" s="3" t="inlineStr">
        <is>
          <t>en</t>
        </is>
      </c>
      <c r="I127" s="3" t="inlineStr"/>
      <c r="J127" s="3" t="n">
        <v>114</v>
      </c>
      <c r="K127" s="5" t="inlineStr">
        <is>
          <t>choix « native » de Films Around the World</t>
        </is>
      </c>
      <c r="L127" s="5" t="inlineStr"/>
      <c r="M127" s="6" t="inlineStr">
        <is>
          <t>https://filmsaroundthe.world/country/namibia/films/katutura-f4fe5a5d8e64bde6c/</t>
        </is>
      </c>
      <c r="N127" s="6" t="inlineStr">
        <is>
          <t>https://www.themoviedb.org/movie/308555</t>
        </is>
      </c>
      <c r="O127" s="5" t="inlineStr"/>
      <c r="P127" s="5" t="inlineStr">
        <is>
          <t>Taste of Rain (2012, 6 votes)</t>
        </is>
      </c>
      <c r="Q127" s="5" t="inlineStr">
        <is>
          <t>Katutura (2015)</t>
        </is>
      </c>
      <c r="R127" s="5" t="inlineStr"/>
      <c r="S127" s="5" t="inlineStr">
        <is>
          <t>pas de box-office national suivi ou publié trouvé</t>
        </is>
      </c>
    </row>
    <row r="128">
      <c r="A128" s="3" t="inlineStr">
        <is>
          <t>Nauru</t>
        </is>
      </c>
      <c r="B128" s="3" t="inlineStr">
        <is>
          <t>Océanie</t>
        </is>
      </c>
      <c r="C128" s="8" t="inlineStr">
        <is>
          <t>D</t>
        </is>
      </c>
      <c r="D128" s="3" t="inlineStr">
        <is>
          <t>très faible (moins de 50 votes)</t>
        </is>
      </c>
      <c r="E128" s="3" t="inlineStr">
        <is>
          <t>Far End of the Sea</t>
        </is>
      </c>
      <c r="F128" s="3" t="inlineStr">
        <is>
          <t>Far End of the Sea</t>
        </is>
      </c>
      <c r="G128" s="3" t="inlineStr">
        <is>
          <t>2026</t>
        </is>
      </c>
      <c r="H128" s="3" t="inlineStr">
        <is>
          <t>en</t>
        </is>
      </c>
      <c r="I128" s="3" t="inlineStr"/>
      <c r="J128" s="3" t="n">
        <v>52</v>
      </c>
      <c r="K128" s="5" t="inlineStr">
        <is>
          <t>popularité TMDB : 0 votes</t>
        </is>
      </c>
      <c r="L128" s="5" t="inlineStr"/>
      <c r="M128" s="6" t="inlineStr">
        <is>
          <t>https://www.themoviedb.org/movie/1700768</t>
        </is>
      </c>
      <c r="N128" s="6" t="inlineStr">
        <is>
          <t>https://www.themoviedb.org/movie/1700768</t>
        </is>
      </c>
      <c r="O128" s="5" t="inlineStr"/>
      <c r="P128" s="5" t="inlineStr">
        <is>
          <t>Far End of the Sea (2026, 0 votes)</t>
        </is>
      </c>
      <c r="Q128" s="5" t="inlineStr"/>
      <c r="R128" s="5" t="inlineStr"/>
      <c r="S128" s="5" t="inlineStr">
        <is>
          <t>No sourced box office data.</t>
        </is>
      </c>
    </row>
    <row r="129">
      <c r="A129" s="3" t="inlineStr">
        <is>
          <t>Népal</t>
        </is>
      </c>
      <c r="B129" s="3" t="inlineStr">
        <is>
          <t>Asie</t>
        </is>
      </c>
      <c r="C129" s="7" t="inlineStr">
        <is>
          <t>A</t>
        </is>
      </c>
      <c r="D129" s="3" t="inlineStr">
        <is>
          <t>bonne</t>
        </is>
      </c>
      <c r="E129" s="3" t="inlineStr">
        <is>
          <t>पूर्णबहादुरको सारङ्गी</t>
        </is>
      </c>
      <c r="F129" s="3" t="inlineStr">
        <is>
          <t>पूर्णबहादुरको सारङ्गी</t>
        </is>
      </c>
      <c r="G129" s="3" t="inlineStr">
        <is>
          <t>2024</t>
        </is>
      </c>
      <c r="H129" s="3" t="inlineStr">
        <is>
          <t>ne</t>
        </is>
      </c>
      <c r="I129" s="3" t="inlineStr"/>
      <c r="J129" s="3" t="n">
        <v>145</v>
      </c>
      <c r="K129" s="5" t="inlineStr">
        <is>
          <t>recettes nationales : रू 46.87 crore (≈1.7M tickets per Lens Nepal)</t>
        </is>
      </c>
      <c r="L129" s="5" t="inlineStr"/>
      <c r="M129" s="6" t="inlineStr">
        <is>
          <t>https://en.wikipedia.org/wiki/List_of_highest-grossing_films_in_Nepal</t>
        </is>
      </c>
      <c r="N129" s="6" t="inlineStr">
        <is>
          <t>https://www.themoviedb.org/movie/1383481</t>
        </is>
      </c>
      <c r="O129" s="5" t="inlineStr">
        <is>
          <t>Gauthali (2026, रू 26.02 crore)</t>
        </is>
      </c>
      <c r="P129" s="5" t="inlineStr">
        <is>
          <t>सेतो सूर्य (2016, 15 votes)</t>
        </is>
      </c>
      <c r="Q129" s="5" t="inlineStr">
        <is>
          <t>Je Bho Ramrai Bho (2003)</t>
        </is>
      </c>
      <c r="R129" s="5" t="inlineStr"/>
      <c r="S129" s="5" t="inlineStr">
        <is>
          <t>Admissions ≈1.7M: https://www.lensnepal.com/news/highest-grossing-films.html</t>
        </is>
      </c>
    </row>
    <row r="130">
      <c r="A130" s="3" t="inlineStr">
        <is>
          <t>Nicaragua</t>
        </is>
      </c>
      <c r="B130" s="3" t="inlineStr">
        <is>
          <t>Amériques</t>
        </is>
      </c>
      <c r="C130" s="7" t="inlineStr">
        <is>
          <t>A</t>
        </is>
      </c>
      <c r="D130" s="3" t="inlineStr">
        <is>
          <t>forte</t>
        </is>
      </c>
      <c r="E130" s="3" t="inlineStr">
        <is>
          <t>La Yuma</t>
        </is>
      </c>
      <c r="F130" s="3" t="inlineStr">
        <is>
          <t>La Yuma</t>
        </is>
      </c>
      <c r="G130" s="3" t="inlineStr">
        <is>
          <t>2010</t>
        </is>
      </c>
      <c r="H130" s="3" t="inlineStr">
        <is>
          <t>es</t>
        </is>
      </c>
      <c r="I130" s="3" t="inlineStr"/>
      <c r="J130" s="3" t="n">
        <v>90</v>
      </c>
      <c r="K130" s="5" t="inlineStr">
        <is>
          <t>entrées : 26 000 (45 000 au total avec la France)</t>
        </is>
      </c>
      <c r="L130" s="5" t="inlineStr"/>
      <c r="M130" s="6" t="inlineStr">
        <is>
          <t>https://casiliteral.com/la-ventana-discreta/diez-anos-de-la-pelicula-nicaraguense-la-yuma/</t>
        </is>
      </c>
      <c r="N130" s="6" t="inlineStr">
        <is>
          <t>https://www.themoviedb.org/movie/162654</t>
        </is>
      </c>
      <c r="O130" s="5" t="inlineStr">
        <is>
          <t>Alsino y el cóndor (1982), 38 000 en salle</t>
        </is>
      </c>
      <c r="P130" s="5" t="inlineStr">
        <is>
          <t>La Yuma (2009, 13 votes)</t>
        </is>
      </c>
      <c r="Q130" s="5" t="inlineStr">
        <is>
          <t>Days of Light (2019)</t>
        </is>
      </c>
      <c r="R130" s="5" t="inlineStr"/>
      <c r="S130" s="5" t="inlineStr">
        <is>
          <t>Coproduction. Alsino aurait plus d'entrées en salle ; ambigu.</t>
        </is>
      </c>
    </row>
    <row r="131">
      <c r="A131" s="3" t="inlineStr">
        <is>
          <t>Niger</t>
        </is>
      </c>
      <c r="B131" s="3" t="inlineStr">
        <is>
          <t>Afrique</t>
        </is>
      </c>
      <c r="C131" s="9" t="inlineStr">
        <is>
          <t>C</t>
        </is>
      </c>
      <c r="D131" s="3" t="inlineStr">
        <is>
          <t>faible (choix éditorial, pas d'audience)</t>
        </is>
      </c>
      <c r="E131" s="3" t="inlineStr">
        <is>
          <t>Zin'naariyâ!</t>
        </is>
      </c>
      <c r="F131" s="3" t="inlineStr">
        <is>
          <t>The Wedding Ring</t>
        </is>
      </c>
      <c r="G131" s="3" t="inlineStr">
        <is>
          <t>2016</t>
        </is>
      </c>
      <c r="H131" s="3" t="inlineStr">
        <is>
          <t>ff</t>
        </is>
      </c>
      <c r="I131" s="3" t="inlineStr"/>
      <c r="J131" s="3" t="n">
        <v>96</v>
      </c>
      <c r="K131" s="5" t="inlineStr">
        <is>
          <t>choix « native » de Films Around the World</t>
        </is>
      </c>
      <c r="L131" s="5" t="inlineStr"/>
      <c r="M131" s="6" t="inlineStr">
        <is>
          <t>https://filmsaroundthe.world/country/niger/films/the-wedding-ring-fc5471ef799bb29c7/</t>
        </is>
      </c>
      <c r="N131" s="6" t="inlineStr">
        <is>
          <t>https://www.themoviedb.org/movie/412211</t>
        </is>
      </c>
      <c r="O131" s="5" t="inlineStr"/>
      <c r="P131" s="5" t="inlineStr">
        <is>
          <t>Bon voyage, Sim (1966, 4 votes)</t>
        </is>
      </c>
      <c r="Q131" s="5" t="inlineStr">
        <is>
          <t>The Wedding Ring (2016)</t>
        </is>
      </c>
      <c r="R131" s="5" t="inlineStr"/>
      <c r="S131" s="5" t="inlineStr">
        <is>
          <t>pas de box-office national suivi ou publié trouvé</t>
        </is>
      </c>
    </row>
    <row r="132">
      <c r="A132" s="3" t="inlineStr">
        <is>
          <t>Nigéria</t>
        </is>
      </c>
      <c r="B132" s="3" t="inlineStr">
        <is>
          <t>Afrique</t>
        </is>
      </c>
      <c r="C132" s="7" t="inlineStr">
        <is>
          <t>A</t>
        </is>
      </c>
      <c r="D132" s="3" t="inlineStr">
        <is>
          <t>bonne</t>
        </is>
      </c>
      <c r="E132" s="3" t="inlineStr">
        <is>
          <t>Behind the Scenes</t>
        </is>
      </c>
      <c r="F132" s="3" t="inlineStr">
        <is>
          <t>Behind The Scenes</t>
        </is>
      </c>
      <c r="G132" s="3" t="inlineStr">
        <is>
          <t>2025</t>
        </is>
      </c>
      <c r="H132" s="3" t="inlineStr">
        <is>
          <t>en</t>
        </is>
      </c>
      <c r="I132" s="3" t="inlineStr"/>
      <c r="J132" s="3" t="n">
        <v>145</v>
      </c>
      <c r="K132" s="5" t="inlineStr">
        <is>
          <t>recettes nationales : NGN 2,760,111,506</t>
        </is>
      </c>
      <c r="L132" s="5" t="inlineStr"/>
      <c r="M132" s="6" t="inlineStr">
        <is>
          <t>https://en.wikipedia.org/wiki/List_of_highest-grossing_Nigerian_films</t>
        </is>
      </c>
      <c r="N132" s="6" t="inlineStr">
        <is>
          <t>https://www.themoviedb.org/movie/1592862</t>
        </is>
      </c>
      <c r="O132" s="5" t="inlineStr">
        <is>
          <t>Everybody Loves Jenifa (2024) NGN 1,882,549,548</t>
        </is>
      </c>
      <c r="P132" s="5" t="inlineStr">
        <is>
          <t>Amina (2021, 139 votes)</t>
        </is>
      </c>
      <c r="Q132" s="5" t="inlineStr">
        <is>
          <t>Living in Bondage (1992)</t>
        </is>
      </c>
      <c r="R132" s="5" t="inlineStr"/>
      <c r="S132" s="5" t="inlineStr">
        <is>
          <t>Film de Funke Akindele, anglais nigérian avec yoruba/pidgin. Recettes non ajustées de l'inflation ; le classement mélange donc les époques.</t>
        </is>
      </c>
    </row>
    <row r="133">
      <c r="A133" s="3" t="inlineStr">
        <is>
          <t>Norvège</t>
        </is>
      </c>
      <c r="B133" s="3" t="inlineStr">
        <is>
          <t>Europe</t>
        </is>
      </c>
      <c r="C133" s="7" t="inlineStr">
        <is>
          <t>A</t>
        </is>
      </c>
      <c r="D133" s="3" t="inlineStr">
        <is>
          <t>forte</t>
        </is>
      </c>
      <c r="E133" s="3" t="inlineStr">
        <is>
          <t>Flåklypa Grand Prix</t>
        </is>
      </c>
      <c r="F133" s="3" t="inlineStr">
        <is>
          <t>Grand Prix Pignon-sur-Roc</t>
        </is>
      </c>
      <c r="G133" s="3" t="inlineStr">
        <is>
          <t>1975</t>
        </is>
      </c>
      <c r="H133" s="3" t="inlineStr">
        <is>
          <t>no</t>
        </is>
      </c>
      <c r="I133" s="3" t="inlineStr">
        <is>
          <t>oui</t>
        </is>
      </c>
      <c r="J133" s="3" t="n">
        <v>88</v>
      </c>
      <c r="K133" s="5" t="inlineStr">
        <is>
          <t>entrées : environ 5 millions (estimation)</t>
        </is>
      </c>
      <c r="L133" s="5" t="inlineStr"/>
      <c r="M133" s="6" t="inlineStr">
        <is>
          <t>https://no.wikipedia.org/wiki/Fl%C3%A5klypa_Grand_Prix</t>
        </is>
      </c>
      <c r="N133" s="6" t="inlineStr">
        <is>
          <t>https://www.themoviedb.org/movie/492015</t>
        </is>
      </c>
      <c r="O133" s="5" t="inlineStr"/>
      <c r="P133" s="5" t="inlineStr">
        <is>
          <t>Troll (2022, 2123 votes)</t>
        </is>
      </c>
      <c r="Q133" s="5" t="inlineStr">
        <is>
          <t>Sentimental Value (2025)</t>
        </is>
      </c>
      <c r="R133" s="5" t="inlineStr"/>
      <c r="S133" s="5" t="inlineStr">
        <is>
          <t>Film d'animation en volume (marionnettes), cité comme le film norvégien le plus vu de tous les temps ; chiffre 'antatt' (supposé) d'environ 5 millions de billets sur toute l'exploitation, pas un relevé officiel. Pas de deuxième trouvé.</t>
        </is>
      </c>
    </row>
    <row r="134">
      <c r="A134" s="3" t="inlineStr">
        <is>
          <t>Nouvelle-Zélande</t>
        </is>
      </c>
      <c r="B134" s="3" t="inlineStr">
        <is>
          <t>Océanie</t>
        </is>
      </c>
      <c r="C134" s="7" t="inlineStr">
        <is>
          <t>A</t>
        </is>
      </c>
      <c r="D134" s="3" t="inlineStr">
        <is>
          <t>bonne</t>
        </is>
      </c>
      <c r="E134" s="3" t="inlineStr">
        <is>
          <t>Hunt for the Wilderpeople</t>
        </is>
      </c>
      <c r="F134" s="3" t="inlineStr">
        <is>
          <t>À la Poursuite de Ricky Baker</t>
        </is>
      </c>
      <c r="G134" s="3" t="inlineStr">
        <is>
          <t>2016</t>
        </is>
      </c>
      <c r="H134" s="3" t="inlineStr">
        <is>
          <t>en</t>
        </is>
      </c>
      <c r="I134" s="3" t="inlineStr"/>
      <c r="J134" s="3" t="n">
        <v>100</v>
      </c>
      <c r="K134" s="5" t="inlineStr">
        <is>
          <t>recettes nationales : NZ$12,207,699</t>
        </is>
      </c>
      <c r="L134" s="5" t="inlineStr">
        <is>
          <t>abonnement : Amazon Prime Video, Sooner, Molotov TV, SFR Play</t>
        </is>
      </c>
      <c r="M134" s="6" t="inlineStr">
        <is>
          <t>https://www.nzfilm.co.nz/assets/resources/Top20Films_NZFC_Nov25.pdf</t>
        </is>
      </c>
      <c r="N134" s="6" t="inlineStr">
        <is>
          <t>https://www.themoviedb.org/movie/371645</t>
        </is>
      </c>
      <c r="O134" s="5" t="inlineStr">
        <is>
          <t>Boy (2010, NZ$9,322,000)</t>
        </is>
      </c>
      <c r="P134" s="5" t="inlineStr">
        <is>
          <t>Mortal Engines (2018, 5373 votes)</t>
        </is>
      </c>
      <c r="Q134" s="5" t="inlineStr">
        <is>
          <t>King Kong (2005)</t>
        </is>
      </c>
      <c r="R134" s="5" t="inlineStr"/>
      <c r="S134" s="5" t="inlineStr">
        <is>
          <t>NZFC, Nov 2025.</t>
        </is>
      </c>
    </row>
    <row r="135">
      <c r="A135" s="3" t="inlineStr">
        <is>
          <t>Oman</t>
        </is>
      </c>
      <c r="B135" s="3" t="inlineStr">
        <is>
          <t>Moyen-Orient</t>
        </is>
      </c>
      <c r="C135" s="8" t="inlineStr">
        <is>
          <t>D</t>
        </is>
      </c>
      <c r="D135" s="3" t="inlineStr">
        <is>
          <t>très faible (moins de 50 votes)</t>
        </is>
      </c>
      <c r="E135" s="3" t="inlineStr">
        <is>
          <t>الصقار</t>
        </is>
      </c>
      <c r="F135" s="3" t="inlineStr">
        <is>
          <t>الصقار</t>
        </is>
      </c>
      <c r="G135" s="3" t="inlineStr">
        <is>
          <t>2021</t>
        </is>
      </c>
      <c r="H135" s="3" t="inlineStr">
        <is>
          <t>ar</t>
        </is>
      </c>
      <c r="I135" s="3" t="inlineStr"/>
      <c r="J135" s="3" t="n">
        <v>100</v>
      </c>
      <c r="K135" s="5" t="inlineStr">
        <is>
          <t>popularité TMDB : 4 votes</t>
        </is>
      </c>
      <c r="L135" s="5" t="inlineStr"/>
      <c r="M135" s="6" t="inlineStr">
        <is>
          <t>https://www.themoviedb.org/movie/889106</t>
        </is>
      </c>
      <c r="N135" s="6" t="inlineStr">
        <is>
          <t>https://www.themoviedb.org/movie/889106</t>
        </is>
      </c>
      <c r="O135" s="5" t="inlineStr"/>
      <c r="P135" s="5" t="inlineStr">
        <is>
          <t>الصقار (2021, 4 votes)</t>
        </is>
      </c>
      <c r="Q135" s="5" t="inlineStr"/>
      <c r="R135" s="5" t="inlineStr"/>
      <c r="S135" s="5" t="inlineStr">
        <is>
          <t>pas de box-office national suivi ou publié trouvé</t>
        </is>
      </c>
    </row>
    <row r="136">
      <c r="A136" s="3" t="inlineStr">
        <is>
          <t>Ouganda</t>
        </is>
      </c>
      <c r="B136" s="3" t="inlineStr">
        <is>
          <t>Afrique</t>
        </is>
      </c>
      <c r="C136" s="9" t="inlineStr">
        <is>
          <t>C</t>
        </is>
      </c>
      <c r="D136" s="3" t="inlineStr">
        <is>
          <t>faible (choix éditorial, pas d'audience)</t>
        </is>
      </c>
      <c r="E136" s="3" t="inlineStr">
        <is>
          <t>Who Killed Captain Alex?</t>
        </is>
      </c>
      <c r="F136" s="3" t="inlineStr">
        <is>
          <t>Who Killed Captain Alex?</t>
        </is>
      </c>
      <c r="G136" s="3" t="inlineStr">
        <is>
          <t>2010</t>
        </is>
      </c>
      <c r="H136" s="3" t="inlineStr">
        <is>
          <t>lg</t>
        </is>
      </c>
      <c r="I136" s="3" t="inlineStr"/>
      <c r="J136" s="3" t="n">
        <v>68</v>
      </c>
      <c r="K136" s="5" t="inlineStr">
        <is>
          <t>choix « native » de Films Around the World</t>
        </is>
      </c>
      <c r="L136" s="5" t="inlineStr">
        <is>
          <t>abonnement : Outbuster Amazon Channel</t>
        </is>
      </c>
      <c r="M136" s="6" t="inlineStr">
        <is>
          <t>https://filmsaroundthe.world/country/uganda/films/who-killed-captain-alex-fa593b4f7135cbdf4/</t>
        </is>
      </c>
      <c r="N136" s="6" t="inlineStr">
        <is>
          <t>https://www.themoviedb.org/movie/316776</t>
        </is>
      </c>
      <c r="O136" s="5" t="inlineStr"/>
      <c r="P136" s="5" t="inlineStr">
        <is>
          <t>Bad Black (2016, 42 votes)</t>
        </is>
      </c>
      <c r="Q136" s="5" t="inlineStr">
        <is>
          <t>Who Killed Captain Alex? (2010)</t>
        </is>
      </c>
      <c r="R136" s="5" t="inlineStr"/>
      <c r="S136" s="5" t="inlineStr">
        <is>
          <t>pas de box-office national suivi ou publié trouvé</t>
        </is>
      </c>
    </row>
    <row r="137">
      <c r="A137" s="3" t="inlineStr">
        <is>
          <t>Ouzbékistan</t>
        </is>
      </c>
      <c r="B137" s="3" t="inlineStr">
        <is>
          <t>Asie</t>
        </is>
      </c>
      <c r="C137" s="7" t="inlineStr">
        <is>
          <t>A</t>
        </is>
      </c>
      <c r="D137" s="3" t="inlineStr">
        <is>
          <t>bonne</t>
        </is>
      </c>
      <c r="E137" s="3" t="inlineStr">
        <is>
          <t>Scorpion</t>
        </is>
      </c>
      <c r="F137" s="3" t="inlineStr">
        <is>
          <t>Scorpion</t>
        </is>
      </c>
      <c r="G137" s="3" t="inlineStr">
        <is>
          <t>2018</t>
        </is>
      </c>
      <c r="H137" s="3" t="inlineStr">
        <is>
          <t>uz</t>
        </is>
      </c>
      <c r="I137" s="3" t="inlineStr"/>
      <c r="J137" s="3" t="n">
        <v>94</v>
      </c>
      <c r="K137" s="5" t="inlineStr">
        <is>
          <t>recettes nationales : None</t>
        </is>
      </c>
      <c r="L137" s="5" t="inlineStr"/>
      <c r="M137" s="6" t="inlineStr">
        <is>
          <t>https://www.pbs.org/video/uzbekistan-nl3JOm</t>
        </is>
      </c>
      <c r="N137" s="6" t="inlineStr">
        <is>
          <t>https://www.themoviedb.org/movie/914434</t>
        </is>
      </c>
      <c r="O137" s="5" t="inlineStr"/>
      <c r="P137" s="5" t="inlineStr">
        <is>
          <t>Scorpion (2018, 16 votes)</t>
        </is>
      </c>
      <c r="Q137" s="5" t="inlineStr">
        <is>
          <t>White, White Storks (1967)</t>
        </is>
      </c>
      <c r="R137" s="5" t="inlineStr"/>
      <c r="S137" s="5" t="inlineStr">
        <is>
          <t>Niveau A par assouplissement : PBS Cinema Nomad (2025) le décrit comme « the highest grossing film in Uzbekistan's history », sans chiffre. Réalisé par Mukhlisa Azizova. Un seul témoignage, pas de donnée chiffrée.</t>
        </is>
      </c>
    </row>
    <row r="138">
      <c r="A138" s="3" t="inlineStr">
        <is>
          <t>Pakistan</t>
        </is>
      </c>
      <c r="B138" s="3" t="inlineStr">
        <is>
          <t>Asie</t>
        </is>
      </c>
      <c r="C138" s="7" t="inlineStr">
        <is>
          <t>A</t>
        </is>
      </c>
      <c r="D138" s="3" t="inlineStr">
        <is>
          <t>bonne</t>
        </is>
      </c>
      <c r="E138" s="3" t="inlineStr">
        <is>
          <t>دی لیجنڈ آف مولا جٹ</t>
        </is>
      </c>
      <c r="F138" s="3" t="inlineStr">
        <is>
          <t>The Legend of Maula Jatt</t>
        </is>
      </c>
      <c r="G138" s="3" t="inlineStr">
        <is>
          <t>2022</t>
        </is>
      </c>
      <c r="H138" s="3" t="inlineStr">
        <is>
          <t>pa</t>
        </is>
      </c>
      <c r="I138" s="3" t="inlineStr"/>
      <c r="J138" s="3" t="n">
        <v>153</v>
      </c>
      <c r="K138" s="5" t="inlineStr">
        <is>
          <t>recettes nationales : Rs. 115.02 crore</t>
        </is>
      </c>
      <c r="L138" s="5" t="inlineStr"/>
      <c r="M138" s="6" t="inlineStr">
        <is>
          <t>https://en.wikipedia.org/wiki/List_of_highest_grossing_Pakistani_films</t>
        </is>
      </c>
      <c r="N138" s="6" t="inlineStr">
        <is>
          <t>https://www.themoviedb.org/movie/464293</t>
        </is>
      </c>
      <c r="O138" s="5" t="inlineStr">
        <is>
          <t>Jawani Phir Nahi Ani 2 (2018, Rs. 53 crore domestic)</t>
        </is>
      </c>
      <c r="P138" s="5" t="inlineStr">
        <is>
          <t>جوائے لینڈ (2022, 174 votes)</t>
        </is>
      </c>
      <c r="Q138" s="5" t="inlineStr">
        <is>
          <t>Dajjal The Slayer and His Followers (2019)</t>
        </is>
      </c>
      <c r="R138" s="5" t="inlineStr"/>
      <c r="S138" s="5" t="inlineStr">
        <is>
          <t>Check domestic vs worldwide: Wikipedia list mixes both.</t>
        </is>
      </c>
    </row>
    <row r="139">
      <c r="A139" s="3" t="inlineStr">
        <is>
          <t>Palaos (Palau)</t>
        </is>
      </c>
      <c r="B139" s="3" t="inlineStr">
        <is>
          <t>Océanie</t>
        </is>
      </c>
      <c r="C139" s="10" t="inlineStr">
        <is>
          <t>-</t>
        </is>
      </c>
      <c r="D139" s="3" t="inlineStr">
        <is>
          <t>aucun film trouvé</t>
        </is>
      </c>
      <c r="E139" s="3" t="inlineStr"/>
      <c r="F139" s="3" t="inlineStr"/>
      <c r="G139" s="3" t="inlineStr"/>
      <c r="H139" s="3" t="inlineStr"/>
      <c r="I139" s="3" t="inlineStr"/>
      <c r="J139" s="3" t="inlineStr"/>
      <c r="K139" s="5" t="inlineStr"/>
      <c r="L139" s="5" t="inlineStr"/>
      <c r="M139" s="5" t="inlineStr"/>
      <c r="N139" s="5" t="inlineStr"/>
      <c r="O139" s="5" t="inlineStr"/>
      <c r="P139" s="5" t="inlineStr"/>
      <c r="Q139" s="5" t="inlineStr"/>
      <c r="R139" s="5" t="inlineStr"/>
      <c r="S139" s="5" t="inlineStr">
        <is>
          <t>No sourced box office data.</t>
        </is>
      </c>
    </row>
    <row r="140">
      <c r="A140" s="3" t="inlineStr">
        <is>
          <t>Palestine</t>
        </is>
      </c>
      <c r="B140" s="3" t="inlineStr">
        <is>
          <t>Moyen-Orient</t>
        </is>
      </c>
      <c r="C140" s="4" t="inlineStr">
        <is>
          <t>B</t>
        </is>
      </c>
      <c r="D140" s="3" t="inlineStr">
        <is>
          <t>moyenne</t>
        </is>
      </c>
      <c r="E140" s="3" t="inlineStr">
        <is>
          <t>عمر</t>
        </is>
      </c>
      <c r="F140" s="3" t="inlineStr">
        <is>
          <t>Omar</t>
        </is>
      </c>
      <c r="G140" s="3" t="inlineStr">
        <is>
          <t>2013</t>
        </is>
      </c>
      <c r="H140" s="3" t="inlineStr">
        <is>
          <t>ar</t>
        </is>
      </c>
      <c r="I140" s="3" t="inlineStr"/>
      <c r="J140" s="3" t="n">
        <v>96</v>
      </c>
      <c r="K140" s="5" t="inlineStr">
        <is>
          <t>popularité TMDB : 192 votes</t>
        </is>
      </c>
      <c r="L140" s="5" t="inlineStr">
        <is>
          <t>location : Orange VOD, YouTube ; achat : Orange VOD, YouTube</t>
        </is>
      </c>
      <c r="M140" s="6" t="inlineStr">
        <is>
          <t>https://www.themoviedb.org/movie/187028</t>
        </is>
      </c>
      <c r="N140" s="6" t="inlineStr">
        <is>
          <t>https://www.themoviedb.org/movie/187028</t>
        </is>
      </c>
      <c r="O140" s="5" t="inlineStr"/>
      <c r="P140" s="5" t="inlineStr">
        <is>
          <t>عمر (2013, 192 votes)</t>
        </is>
      </c>
      <c r="Q140" s="5" t="inlineStr"/>
      <c r="R140" s="5" t="inlineStr"/>
      <c r="S140" s="5" t="inlineStr">
        <is>
          <t>Marché minuscule (2 écrans, 64 026 entrées toutes provenances en 2007 selon Wikipedia). Aucun record documenté. / pas de box-office national suivi ou publié trouvé</t>
        </is>
      </c>
    </row>
    <row r="141">
      <c r="A141" s="3" t="inlineStr">
        <is>
          <t>Panama</t>
        </is>
      </c>
      <c r="B141" s="3" t="inlineStr">
        <is>
          <t>Amériques</t>
        </is>
      </c>
      <c r="C141" s="7" t="inlineStr">
        <is>
          <t>A</t>
        </is>
      </c>
      <c r="D141" s="3" t="inlineStr">
        <is>
          <t>forte</t>
        </is>
      </c>
      <c r="E141" s="3" t="inlineStr">
        <is>
          <t>Chance</t>
        </is>
      </c>
      <c r="F141" s="3" t="inlineStr">
        <is>
          <t>Chance</t>
        </is>
      </c>
      <c r="G141" s="3" t="inlineStr">
        <is>
          <t>2009</t>
        </is>
      </c>
      <c r="H141" s="3" t="inlineStr">
        <is>
          <t>es</t>
        </is>
      </c>
      <c r="I141" s="3" t="inlineStr"/>
      <c r="J141" s="3" t="n">
        <v>90</v>
      </c>
      <c r="K141" s="5" t="inlineStr">
        <is>
          <t>entrées : plus de 140 000</t>
        </is>
      </c>
      <c r="L141" s="5" t="inlineStr">
        <is>
          <t>abonnement : Amazon Prime Video, Amazon Prime Video with Ads</t>
        </is>
      </c>
      <c r="M141" s="6" t="inlineStr">
        <is>
          <t>https://es.wikipedia.org/wiki/Abner_Benaim</t>
        </is>
      </c>
      <c r="N141" s="6" t="inlineStr">
        <is>
          <t>https://www.themoviedb.org/movie/64127</t>
        </is>
      </c>
      <c r="O141" s="5" t="inlineStr">
        <is>
          <t>n/d</t>
        </is>
      </c>
      <c r="P141" s="5" t="inlineStr">
        <is>
          <t>Más que hermanos (2017, 31 votes)</t>
        </is>
      </c>
      <c r="Q141" s="5" t="inlineStr">
        <is>
          <t>Invasion (2014)</t>
        </is>
      </c>
      <c r="R141" s="5" t="inlineStr"/>
      <c r="S141" s="5" t="inlineStr">
        <is>
          <t>Présenté comme film local le plus vu. Coproduction Colombie-Panama. Chiffres régionaux plus élevés (300-500 000). Ambigu.</t>
        </is>
      </c>
    </row>
    <row r="142">
      <c r="A142" s="3" t="inlineStr">
        <is>
          <t>Papouasie-Nouvelle-Guinée</t>
        </is>
      </c>
      <c r="B142" s="3" t="inlineStr">
        <is>
          <t>Océanie</t>
        </is>
      </c>
      <c r="C142" s="8" t="inlineStr">
        <is>
          <t>D</t>
        </is>
      </c>
      <c r="D142" s="3" t="inlineStr">
        <is>
          <t>très faible (moins de 50 votes)</t>
        </is>
      </c>
      <c r="E142" s="3" t="inlineStr">
        <is>
          <t>Daddy</t>
        </is>
      </c>
      <c r="F142" s="3" t="inlineStr">
        <is>
          <t>Daddy</t>
        </is>
      </c>
      <c r="G142" s="3" t="inlineStr">
        <is>
          <t>2020</t>
        </is>
      </c>
      <c r="H142" s="3" t="inlineStr">
        <is>
          <t>en</t>
        </is>
      </c>
      <c r="I142" s="3" t="inlineStr"/>
      <c r="J142" s="3" t="n">
        <v>5</v>
      </c>
      <c r="K142" s="5" t="inlineStr">
        <is>
          <t>popularité TMDB : 1 votes</t>
        </is>
      </c>
      <c r="L142" s="5" t="inlineStr"/>
      <c r="M142" s="6" t="inlineStr">
        <is>
          <t>https://www.themoviedb.org/movie/1152467</t>
        </is>
      </c>
      <c r="N142" s="6" t="inlineStr">
        <is>
          <t>https://www.themoviedb.org/movie/1152467</t>
        </is>
      </c>
      <c r="O142" s="5" t="inlineStr"/>
      <c r="P142" s="5" t="inlineStr">
        <is>
          <t>Daddy (2020, 1 votes)</t>
        </is>
      </c>
      <c r="Q142" s="5" t="inlineStr"/>
      <c r="R142" s="5" t="inlineStr"/>
      <c r="S142" s="5" t="inlineStr">
        <is>
          <t>No sourced box office data.</t>
        </is>
      </c>
    </row>
    <row r="143">
      <c r="A143" s="3" t="inlineStr">
        <is>
          <t>Paraguay</t>
        </is>
      </c>
      <c r="B143" s="3" t="inlineStr">
        <is>
          <t>Amériques</t>
        </is>
      </c>
      <c r="C143" s="7" t="inlineStr">
        <is>
          <t>A</t>
        </is>
      </c>
      <c r="D143" s="3" t="inlineStr">
        <is>
          <t>forte</t>
        </is>
      </c>
      <c r="E143" s="3" t="inlineStr">
        <is>
          <t>7 cajas</t>
        </is>
      </c>
      <c r="F143" s="3" t="inlineStr">
        <is>
          <t>7 Boxes</t>
        </is>
      </c>
      <c r="G143" s="3" t="inlineStr">
        <is>
          <t>2012</t>
        </is>
      </c>
      <c r="H143" s="3" t="inlineStr">
        <is>
          <t>es</t>
        </is>
      </c>
      <c r="I143" s="3" t="inlineStr"/>
      <c r="J143" s="3" t="n">
        <v>100</v>
      </c>
      <c r="K143" s="5" t="inlineStr">
        <is>
          <t>entrées : 280 371</t>
        </is>
      </c>
      <c r="L143" s="5" t="inlineStr">
        <is>
          <t>gratuit pub : Plex, Plex Channel</t>
        </is>
      </c>
      <c r="M143" s="6" t="inlineStr">
        <is>
          <t>https://www.lanacion.com.py/espectaculo/2026/06/05/narciso-y-el-renacer-albirrojo-destacan-en-la-taquilla-nacional</t>
        </is>
      </c>
      <c r="N143" s="6" t="inlineStr">
        <is>
          <t>https://www.themoviedb.org/movie/127847</t>
        </is>
      </c>
      <c r="O143" s="5" t="inlineStr">
        <is>
          <t>Los buscadores (2017), 137 637</t>
        </is>
      </c>
      <c r="P143" s="5" t="inlineStr">
        <is>
          <t>7 cajas (2012, 144 votes)</t>
        </is>
      </c>
      <c r="Q143" s="5" t="inlineStr">
        <is>
          <t>La Redención (2018)</t>
        </is>
      </c>
      <c r="R143" s="5" t="inlineStr"/>
      <c r="S143" s="5" t="inlineStr">
        <is>
          <t>Dialogues en espagnol et guarani.</t>
        </is>
      </c>
    </row>
    <row r="144">
      <c r="A144" s="3" t="inlineStr">
        <is>
          <t>Pays-Bas</t>
        </is>
      </c>
      <c r="B144" s="3" t="inlineStr">
        <is>
          <t>Europe</t>
        </is>
      </c>
      <c r="C144" s="7" t="inlineStr">
        <is>
          <t>A</t>
        </is>
      </c>
      <c r="D144" s="3" t="inlineStr">
        <is>
          <t>forte</t>
        </is>
      </c>
      <c r="E144" s="3" t="inlineStr">
        <is>
          <t>Turks fruit</t>
        </is>
      </c>
      <c r="F144" s="3" t="inlineStr">
        <is>
          <t>Turkish Délices</t>
        </is>
      </c>
      <c r="G144" s="3" t="inlineStr">
        <is>
          <t>1973</t>
        </is>
      </c>
      <c r="H144" s="3" t="inlineStr">
        <is>
          <t>nl</t>
        </is>
      </c>
      <c r="I144" s="3" t="inlineStr"/>
      <c r="J144" s="3" t="n">
        <v>104</v>
      </c>
      <c r="K144" s="5" t="inlineStr">
        <is>
          <t>entrées : 3338000</t>
        </is>
      </c>
      <c r="L144" s="5" t="inlineStr"/>
      <c r="M144" s="6" t="inlineStr">
        <is>
          <t>https://nl.wikipedia.org/wiki/Lijst_van_succesvolste_Nederlandse_films</t>
        </is>
      </c>
      <c r="N144" s="6" t="inlineStr">
        <is>
          <t>https://www.themoviedb.org/movie/21035</t>
        </is>
      </c>
      <c r="O144" s="5" t="inlineStr">
        <is>
          <t>Fanfare (1958), 2637000</t>
        </is>
      </c>
      <c r="P144" s="5" t="inlineStr">
        <is>
          <t>Spoorloos (1988, 902 votes)</t>
        </is>
      </c>
      <c r="Q144" s="5" t="inlineStr">
        <is>
          <t>Turkish Delight (1973)</t>
        </is>
      </c>
      <c r="R144" s="5" t="inlineStr"/>
      <c r="S144" s="5" t="inlineStr">
        <is>
          <t>La version anglaise de Wikipédia donne 3328804.</t>
        </is>
      </c>
    </row>
    <row r="145">
      <c r="A145" s="3" t="inlineStr">
        <is>
          <t>Pérou</t>
        </is>
      </c>
      <c r="B145" s="3" t="inlineStr">
        <is>
          <t>Amériques</t>
        </is>
      </c>
      <c r="C145" s="7" t="inlineStr">
        <is>
          <t>A</t>
        </is>
      </c>
      <c r="D145" s="3" t="inlineStr">
        <is>
          <t>forte</t>
        </is>
      </c>
      <c r="E145" s="3" t="inlineStr">
        <is>
          <t>¡Asu mare! 2</t>
        </is>
      </c>
      <c r="F145" s="3" t="inlineStr">
        <is>
          <t>¡Asu Mare! 2</t>
        </is>
      </c>
      <c r="G145" s="3" t="inlineStr">
        <is>
          <t>2015</t>
        </is>
      </c>
      <c r="H145" s="3" t="inlineStr">
        <is>
          <t>es</t>
        </is>
      </c>
      <c r="I145" s="3" t="inlineStr"/>
      <c r="J145" s="3" t="n">
        <v>100</v>
      </c>
      <c r="K145" s="5" t="inlineStr">
        <is>
          <t>entrées : 3 062 023</t>
        </is>
      </c>
      <c r="L145" s="5" t="inlineStr"/>
      <c r="M145" s="6" t="inlineStr">
        <is>
          <t>https://es.wikipedia.org/wiki/Anexo:Pel%C3%ADculas_de_Per%C3%BA</t>
        </is>
      </c>
      <c r="N145" s="6" t="inlineStr">
        <is>
          <t>https://www.themoviedb.org/movie/335031</t>
        </is>
      </c>
      <c r="O145" s="5" t="inlineStr">
        <is>
          <t>¡Asu mare! (2013), 3 023 606</t>
        </is>
      </c>
      <c r="P145" s="5" t="inlineStr">
        <is>
          <t>Soltera codiciada (2018, 253 votes)</t>
        </is>
      </c>
      <c r="Q145" s="5" t="inlineStr">
        <is>
          <t>Ainbo: Spirit of the Amazon (2021)</t>
        </is>
      </c>
      <c r="R145" s="5" t="inlineStr"/>
      <c r="S145" s="5" t="inlineStr">
        <is>
          <t>Écart très faible entre les deux premiers (39 000 entrées). Recettes 36 987 000 PEN.</t>
        </is>
      </c>
    </row>
    <row r="146">
      <c r="A146" s="3" t="inlineStr">
        <is>
          <t>Philippines</t>
        </is>
      </c>
      <c r="B146" s="3" t="inlineStr">
        <is>
          <t>Asie</t>
        </is>
      </c>
      <c r="C146" s="7" t="inlineStr">
        <is>
          <t>A</t>
        </is>
      </c>
      <c r="D146" s="3" t="inlineStr">
        <is>
          <t>bonne</t>
        </is>
      </c>
      <c r="E146" s="3" t="inlineStr">
        <is>
          <t>Hello, Love, Again</t>
        </is>
      </c>
      <c r="F146" s="3" t="inlineStr">
        <is>
          <t>Hello, Love, Again</t>
        </is>
      </c>
      <c r="G146" s="3" t="inlineStr">
        <is>
          <t>2024</t>
        </is>
      </c>
      <c r="H146" s="3" t="inlineStr">
        <is>
          <t>tl</t>
        </is>
      </c>
      <c r="I146" s="3" t="inlineStr"/>
      <c r="J146" s="3" t="n">
        <v>120</v>
      </c>
      <c r="K146" s="5" t="inlineStr">
        <is>
          <t>recettes nationales : ≈₱1,000,000,000 domestic (worldwide ₱1.6bn)</t>
        </is>
      </c>
      <c r="L146" s="5" t="inlineStr">
        <is>
          <t>abonnement : Netflix, Netflix Standard with Ads</t>
        </is>
      </c>
      <c r="M146" s="6" t="inlineStr">
        <is>
          <t>https://en.wikipedia.org/wiki/List_of_highest-grossing_films_in_the_Philippines</t>
        </is>
      </c>
      <c r="N146" s="6" t="inlineStr">
        <is>
          <t>https://www.themoviedb.org/movie/1292359</t>
        </is>
      </c>
      <c r="O146" s="5" t="inlineStr">
        <is>
          <t>Rewind (2023, domestic ₱848M; Philstar says ₱815M)</t>
        </is>
      </c>
      <c r="P146" s="5" t="inlineStr">
        <is>
          <t>Metro Manila (2013, 180 votes)</t>
        </is>
      </c>
      <c r="Q146" s="5" t="inlineStr">
        <is>
          <t>On The Job 2: The Missing 8 (2021)</t>
        </is>
      </c>
      <c r="R146" s="5" t="inlineStr"/>
      <c r="S146" s="5" t="inlineStr">
        <is>
          <t>Ambiguous: domestic figure is approximate, Tagalog/English.</t>
        </is>
      </c>
    </row>
    <row r="147">
      <c r="A147" s="3" t="inlineStr">
        <is>
          <t>Pologne</t>
        </is>
      </c>
      <c r="B147" s="3" t="inlineStr">
        <is>
          <t>Europe</t>
        </is>
      </c>
      <c r="C147" s="7" t="inlineStr">
        <is>
          <t>A</t>
        </is>
      </c>
      <c r="D147" s="3" t="inlineStr">
        <is>
          <t>forte</t>
        </is>
      </c>
      <c r="E147" s="3" t="inlineStr">
        <is>
          <t>Krzyżacy</t>
        </is>
      </c>
      <c r="F147" s="3" t="inlineStr">
        <is>
          <t>Les chevaliers teutoniques</t>
        </is>
      </c>
      <c r="G147" s="3" t="inlineStr">
        <is>
          <t>1960</t>
        </is>
      </c>
      <c r="H147" s="3" t="inlineStr">
        <is>
          <t>pl</t>
        </is>
      </c>
      <c r="I147" s="3" t="inlineStr"/>
      <c r="J147" s="3" t="n">
        <v>166</v>
      </c>
      <c r="K147" s="5" t="inlineStr">
        <is>
          <t>entrées : 32315695</t>
        </is>
      </c>
      <c r="L147" s="5" t="inlineStr"/>
      <c r="M147" s="6" t="inlineStr">
        <is>
          <t>https://pl.wikipedia.org/wiki/Lista_film%C3%B3w_z_najwi%C4%99ksz%C4%85_liczb%C4%85_widz%C3%B3w_w_Polsce</t>
        </is>
      </c>
      <c r="N147" s="6" t="inlineStr">
        <is>
          <t>https://www.themoviedb.org/movie/66030</t>
        </is>
      </c>
      <c r="O147" s="5" t="inlineStr">
        <is>
          <t>W pustyni i w puszczy (1973), 30989874</t>
        </is>
      </c>
      <c r="P147" s="5" t="inlineStr">
        <is>
          <t>365 dni (2020, 9612 votes)</t>
        </is>
      </c>
      <c r="Q147" s="5" t="inlineStr">
        <is>
          <t>Loving Vincent (2017)</t>
        </is>
      </c>
      <c r="R147" s="5" t="inlineStr"/>
      <c r="S147" s="5" t="inlineStr"/>
    </row>
    <row r="148">
      <c r="A148" s="3" t="inlineStr">
        <is>
          <t>Portugal</t>
        </is>
      </c>
      <c r="B148" s="3" t="inlineStr">
        <is>
          <t>Europe</t>
        </is>
      </c>
      <c r="C148" s="7" t="inlineStr">
        <is>
          <t>A</t>
        </is>
      </c>
      <c r="D148" s="3" t="inlineStr">
        <is>
          <t>forte</t>
        </is>
      </c>
      <c r="E148" s="3" t="inlineStr">
        <is>
          <t>A Gaiola Dourada</t>
        </is>
      </c>
      <c r="F148" s="3" t="inlineStr">
        <is>
          <t>La Cage dorée</t>
        </is>
      </c>
      <c r="G148" s="3" t="inlineStr">
        <is>
          <t>2013</t>
        </is>
      </c>
      <c r="H148" s="3" t="inlineStr">
        <is>
          <t>pt</t>
        </is>
      </c>
      <c r="I148" s="3" t="inlineStr"/>
      <c r="J148" s="3" t="n">
        <v>90</v>
      </c>
      <c r="K148" s="5" t="inlineStr">
        <is>
          <t>entrées : 761113</t>
        </is>
      </c>
      <c r="L148" s="5" t="inlineStr">
        <is>
          <t>location : Apple TV Store, Orange VOD, YouTube, Rakuten TV ; achat : Apple TV Store, Orange VOD, YouTube, Rakuten TV</t>
        </is>
      </c>
      <c r="M148" s="6" t="inlineStr">
        <is>
          <t>https://pt.wikipedia.org/wiki/A_Gaiola_Dourada</t>
        </is>
      </c>
      <c r="N148" s="6" t="inlineStr">
        <is>
          <t>https://www.themoviedb.org/movie/186161</t>
        </is>
      </c>
      <c r="O148" s="5" t="inlineStr">
        <is>
          <t>O Pátio das Cantigas (2015), 608376</t>
        </is>
      </c>
      <c r="P148" s="5" t="inlineStr">
        <is>
          <t>O Fantasma (2000, 125 votes)</t>
        </is>
      </c>
      <c r="Q148" s="5" t="inlineStr">
        <is>
          <t>A Canção de Lisboa (1933)</t>
        </is>
      </c>
      <c r="R148" s="5" t="inlineStr"/>
      <c r="S148" s="5" t="inlineStr">
        <is>
          <t>Chiffres depuis 2004 seulement.</t>
        </is>
      </c>
    </row>
    <row r="149">
      <c r="A149" s="3" t="inlineStr">
        <is>
          <t>Qatar</t>
        </is>
      </c>
      <c r="B149" s="3" t="inlineStr">
        <is>
          <t>Moyen-Orient</t>
        </is>
      </c>
      <c r="C149" s="8" t="inlineStr">
        <is>
          <t>D</t>
        </is>
      </c>
      <c r="D149" s="3" t="inlineStr">
        <is>
          <t>très faible (moins de 50 votes)</t>
        </is>
      </c>
      <c r="E149" s="3" t="inlineStr">
        <is>
          <t>المعلم</t>
        </is>
      </c>
      <c r="F149" s="3" t="inlineStr">
        <is>
          <t>المعلم</t>
        </is>
      </c>
      <c r="G149" s="3" t="inlineStr">
        <is>
          <t>2024</t>
        </is>
      </c>
      <c r="H149" s="3" t="inlineStr">
        <is>
          <t>ar</t>
        </is>
      </c>
      <c r="I149" s="3" t="inlineStr"/>
      <c r="J149" s="3" t="n">
        <v>115</v>
      </c>
      <c r="K149" s="5" t="inlineStr">
        <is>
          <t>popularité TMDB : 14 votes</t>
        </is>
      </c>
      <c r="L149" s="5" t="inlineStr"/>
      <c r="M149" s="6" t="inlineStr">
        <is>
          <t>https://www.themoviedb.org/movie/1069200</t>
        </is>
      </c>
      <c r="N149" s="6" t="inlineStr">
        <is>
          <t>https://www.themoviedb.org/movie/1069200</t>
        </is>
      </c>
      <c r="O149" s="5" t="inlineStr"/>
      <c r="P149" s="5" t="inlineStr">
        <is>
          <t>المعلم (2024, 14 votes)</t>
        </is>
      </c>
      <c r="Q149" s="5" t="inlineStr"/>
      <c r="R149" s="5" t="inlineStr"/>
      <c r="S149" s="5" t="inlineStr">
        <is>
          <t>pas de box-office national suivi ou publié trouvé</t>
        </is>
      </c>
    </row>
    <row r="150">
      <c r="A150" s="3" t="inlineStr">
        <is>
          <t>République centrafricaine</t>
        </is>
      </c>
      <c r="B150" s="3" t="inlineStr">
        <is>
          <t>Afrique</t>
        </is>
      </c>
      <c r="C150" s="8" t="inlineStr">
        <is>
          <t>D</t>
        </is>
      </c>
      <c r="D150" s="3" t="inlineStr">
        <is>
          <t>très faible (moins de 50 votes)</t>
        </is>
      </c>
      <c r="E150" s="3" t="inlineStr">
        <is>
          <t>Congo Boy</t>
        </is>
      </c>
      <c r="F150" s="3" t="inlineStr">
        <is>
          <t>Congo Boy</t>
        </is>
      </c>
      <c r="G150" s="3" t="inlineStr">
        <is>
          <t>2026</t>
        </is>
      </c>
      <c r="H150" s="3" t="inlineStr">
        <is>
          <t>sg</t>
        </is>
      </c>
      <c r="I150" s="3" t="inlineStr"/>
      <c r="J150" s="3" t="n">
        <v>90</v>
      </c>
      <c r="K150" s="5" t="inlineStr">
        <is>
          <t>popularité TMDB : 0 votes</t>
        </is>
      </c>
      <c r="L150" s="5" t="inlineStr"/>
      <c r="M150" s="6" t="inlineStr">
        <is>
          <t>https://www.themoviedb.org/movie/1666683</t>
        </is>
      </c>
      <c r="N150" s="6" t="inlineStr">
        <is>
          <t>https://www.themoviedb.org/movie/1666683</t>
        </is>
      </c>
      <c r="O150" s="5" t="inlineStr"/>
      <c r="P150" s="5" t="inlineStr">
        <is>
          <t>Congo Boy (2026, 0 votes)</t>
        </is>
      </c>
      <c r="Q150" s="5" t="inlineStr">
        <is>
          <t>We, Students! (2022)</t>
        </is>
      </c>
      <c r="R150" s="5" t="inlineStr"/>
      <c r="S150" s="5" t="inlineStr">
        <is>
          <t>pas de box-office national suivi ou publié trouvé</t>
        </is>
      </c>
    </row>
    <row r="151">
      <c r="A151" s="3" t="inlineStr">
        <is>
          <t>République dominicaine</t>
        </is>
      </c>
      <c r="B151" s="3" t="inlineStr">
        <is>
          <t>Amériques</t>
        </is>
      </c>
      <c r="C151" s="7" t="inlineStr">
        <is>
          <t>A</t>
        </is>
      </c>
      <c r="D151" s="3" t="inlineStr">
        <is>
          <t>forte</t>
        </is>
      </c>
      <c r="E151" s="3" t="inlineStr">
        <is>
          <t>Perico Ripiao</t>
        </is>
      </c>
      <c r="F151" s="3" t="inlineStr">
        <is>
          <t>Perico Ripiao</t>
        </is>
      </c>
      <c r="G151" s="3" t="inlineStr">
        <is>
          <t>2003</t>
        </is>
      </c>
      <c r="H151" s="3" t="inlineStr">
        <is>
          <t>es</t>
        </is>
      </c>
      <c r="I151" s="3" t="inlineStr"/>
      <c r="J151" s="3" t="n">
        <v>94</v>
      </c>
      <c r="K151" s="5" t="inlineStr">
        <is>
          <t>entrées : 775 000</t>
        </is>
      </c>
      <c r="L151" s="5" t="inlineStr"/>
      <c r="M151" s="6" t="inlineStr">
        <is>
          <t>https://eldia.com.do/las-10-peliculasdominicanas-mas-taquilleras-de-todos-los-tiempos/</t>
        </is>
      </c>
      <c r="N151" s="6" t="inlineStr">
        <is>
          <t>https://www.themoviedb.org/movie/25000</t>
        </is>
      </c>
      <c r="O151" s="5" t="inlineStr">
        <is>
          <t>Lotoman (2011), 673 759 (DGCINE)</t>
        </is>
      </c>
      <c r="P151" s="5" t="inlineStr">
        <is>
          <t>Perico Ripiao (2003, 91 votes)</t>
        </is>
      </c>
      <c r="Q151" s="5" t="inlineStr">
        <is>
          <t>At the End of the Duty (2008)</t>
        </is>
      </c>
      <c r="R151" s="5" t="inlineStr"/>
      <c r="S151" s="5" t="inlineStr">
        <is>
          <t>Chiffre de presse locale, antérieur à la DGCINE. Qué León (2018) a la plus forte recette (RD$102,1 M, 424 907 entrées). Ambigu.</t>
        </is>
      </c>
    </row>
    <row r="152">
      <c r="A152" s="3" t="inlineStr">
        <is>
          <t>Roumanie</t>
        </is>
      </c>
      <c r="B152" s="3" t="inlineStr">
        <is>
          <t>Europe</t>
        </is>
      </c>
      <c r="C152" s="7" t="inlineStr">
        <is>
          <t>A</t>
        </is>
      </c>
      <c r="D152" s="3" t="inlineStr">
        <is>
          <t>forte</t>
        </is>
      </c>
      <c r="E152" s="3" t="inlineStr">
        <is>
          <t>Nea Mărin miliardar</t>
        </is>
      </c>
      <c r="F152" s="3" t="inlineStr">
        <is>
          <t>Nea Mărin miliardar</t>
        </is>
      </c>
      <c r="G152" s="3" t="inlineStr">
        <is>
          <t>1979</t>
        </is>
      </c>
      <c r="H152" s="3" t="inlineStr">
        <is>
          <t>ro</t>
        </is>
      </c>
      <c r="I152" s="3" t="inlineStr"/>
      <c r="J152" s="3" t="n">
        <v>88</v>
      </c>
      <c r="K152" s="5" t="inlineStr">
        <is>
          <t>entrées : 14645586</t>
        </is>
      </c>
      <c r="L152" s="5" t="inlineStr"/>
      <c r="M152" s="6" t="inlineStr">
        <is>
          <t>https://ro.wikipedia.org/wiki/Nea_M%C4%83rin_miliardar</t>
        </is>
      </c>
      <c r="N152" s="6" t="inlineStr">
        <is>
          <t>https://www.themoviedb.org/movie/179519</t>
        </is>
      </c>
      <c r="O152" s="5" t="inlineStr">
        <is>
          <t>Pacala (1974), 14644029</t>
        </is>
      </c>
      <c r="P152" s="5" t="inlineStr">
        <is>
          <t>Bacalaureat (2016, 317 votes)</t>
        </is>
      </c>
      <c r="Q152" s="5" t="inlineStr">
        <is>
          <t>Reconstruction (1968)</t>
        </is>
      </c>
      <c r="R152" s="5" t="inlineStr"/>
      <c r="S152" s="5" t="inlineStr">
        <is>
          <t>Écart minime avec le second.</t>
        </is>
      </c>
    </row>
    <row r="153">
      <c r="A153" s="3" t="inlineStr">
        <is>
          <t>Royaume-Uni</t>
        </is>
      </c>
      <c r="B153" s="3" t="inlineStr">
        <is>
          <t>Europe</t>
        </is>
      </c>
      <c r="C153" s="7" t="inlineStr">
        <is>
          <t>A</t>
        </is>
      </c>
      <c r="D153" s="3" t="inlineStr">
        <is>
          <t>forte</t>
        </is>
      </c>
      <c r="E153" s="3" t="inlineStr">
        <is>
          <t>Spring in Park Lane</t>
        </is>
      </c>
      <c r="F153" s="3" t="inlineStr">
        <is>
          <t>Spring in Park Lane</t>
        </is>
      </c>
      <c r="G153" s="3" t="inlineStr">
        <is>
          <t>1948</t>
        </is>
      </c>
      <c r="H153" s="3" t="inlineStr">
        <is>
          <t>en</t>
        </is>
      </c>
      <c r="I153" s="3" t="inlineStr"/>
      <c r="J153" s="3" t="n">
        <v>91</v>
      </c>
      <c r="K153" s="5" t="inlineStr">
        <is>
          <t>entrées : 20500000</t>
        </is>
      </c>
      <c r="L153" s="5" t="inlineStr"/>
      <c r="M153" s="6" t="inlineStr">
        <is>
          <t>https://en.wikipedia.org/wiki/List_of_highest-grossing_films_in_the_United_Kingdom</t>
        </is>
      </c>
      <c r="N153" s="6" t="inlineStr">
        <is>
          <t>https://www.themoviedb.org/movie/254261</t>
        </is>
      </c>
      <c r="O153" s="5" t="inlineStr">
        <is>
          <t>The Wicked Lady (1945), 18400000</t>
        </is>
      </c>
      <c r="P153" s="5" t="inlineStr">
        <is>
          <t>Inception (2010, 40516 votes)</t>
        </is>
      </c>
      <c r="Q153" s="5" t="inlineStr">
        <is>
          <t>2001: A Space Odyssey (1968)</t>
        </is>
      </c>
      <c r="R153" s="5" t="inlineStr"/>
      <c r="S153" s="5" t="inlineStr">
        <is>
          <t>Estimation BFI.</t>
        </is>
      </c>
    </row>
    <row r="154">
      <c r="A154" s="3" t="inlineStr">
        <is>
          <t>Russie</t>
        </is>
      </c>
      <c r="B154" s="3" t="inlineStr">
        <is>
          <t>Europe</t>
        </is>
      </c>
      <c r="C154" s="7" t="inlineStr">
        <is>
          <t>A</t>
        </is>
      </c>
      <c r="D154" s="3" t="inlineStr">
        <is>
          <t>forte</t>
        </is>
      </c>
      <c r="E154" s="3" t="inlineStr">
        <is>
          <t>Чебурашка</t>
        </is>
      </c>
      <c r="F154" s="3" t="inlineStr">
        <is>
          <t>Cheburashka</t>
        </is>
      </c>
      <c r="G154" s="3" t="inlineStr">
        <is>
          <t>2023</t>
        </is>
      </c>
      <c r="H154" s="3" t="inlineStr">
        <is>
          <t>ru</t>
        </is>
      </c>
      <c r="I154" s="3" t="inlineStr"/>
      <c r="J154" s="3" t="n">
        <v>113</v>
      </c>
      <c r="K154" s="5" t="inlineStr">
        <is>
          <t>entrées : 22448799</t>
        </is>
      </c>
      <c r="L154" s="5" t="inlineStr"/>
      <c r="M154" s="6" t="inlineStr">
        <is>
          <t>https://ru.wikipedia.org/wiki/Список_самых_кассовых_фильмов_в_России</t>
        </is>
      </c>
      <c r="N154" s="6" t="inlineStr">
        <is>
          <t>https://www.themoviedb.org/movie/751171</t>
        </is>
      </c>
      <c r="O154" s="5" t="inlineStr">
        <is>
          <t>Холоп (2019), 11636735</t>
        </is>
      </c>
      <c r="P154" s="5" t="inlineStr">
        <is>
          <t>Спутник (2020, 1038 votes)</t>
        </is>
      </c>
      <c r="Q154" s="5" t="inlineStr">
        <is>
          <t>Andrei Rublev (1966)</t>
        </is>
      </c>
      <c r="R154" s="5" t="inlineStr"/>
      <c r="S154" s="5" t="inlineStr">
        <is>
          <t>Films soviétiques exclus.</t>
        </is>
      </c>
    </row>
    <row r="155">
      <c r="A155" s="3" t="inlineStr">
        <is>
          <t>Rwanda</t>
        </is>
      </c>
      <c r="B155" s="3" t="inlineStr">
        <is>
          <t>Afrique</t>
        </is>
      </c>
      <c r="C155" s="9" t="inlineStr">
        <is>
          <t>C</t>
        </is>
      </c>
      <c r="D155" s="3" t="inlineStr">
        <is>
          <t>faible (choix éditorial, pas d'audience)</t>
        </is>
      </c>
      <c r="E155" s="3" t="inlineStr">
        <is>
          <t>La Miséricorde de la jungle</t>
        </is>
      </c>
      <c r="F155" s="3" t="inlineStr">
        <is>
          <t>La Miséricorde de la jungle</t>
        </is>
      </c>
      <c r="G155" s="3" t="inlineStr">
        <is>
          <t>2018</t>
        </is>
      </c>
      <c r="H155" s="3" t="inlineStr">
        <is>
          <t>fr</t>
        </is>
      </c>
      <c r="I155" s="3" t="inlineStr"/>
      <c r="J155" s="3" t="n">
        <v>91</v>
      </c>
      <c r="K155" s="5" t="inlineStr">
        <is>
          <t>choix « native » de Films Around the World</t>
        </is>
      </c>
      <c r="L155" s="5" t="inlineStr">
        <is>
          <t>location : Apple TV Store, Orange VOD, YouTube, Rakuten TV ; achat : Apple TV Store, Orange VOD, YouTube, Rakuten TV</t>
        </is>
      </c>
      <c r="M155" s="6" t="inlineStr">
        <is>
          <t>https://filmsaroundthe.world/country/rwanda/films/the-mercy-of-the-jungle-f656951146a226db0/</t>
        </is>
      </c>
      <c r="N155" s="6" t="inlineStr">
        <is>
          <t>https://www.themoviedb.org/movie/515348</t>
        </is>
      </c>
      <c r="O155" s="5" t="inlineStr"/>
      <c r="P155" s="5" t="inlineStr">
        <is>
          <t>Neptune Frost (2022, 39 votes)</t>
        </is>
      </c>
      <c r="Q155" s="5" t="inlineStr">
        <is>
          <t>The Mercy of the Jungle (2018)</t>
        </is>
      </c>
      <c r="R155" s="5" t="inlineStr"/>
      <c r="S155" s="5" t="inlineStr">
        <is>
          <t>pas de box-office national suivi ou publié trouvé</t>
        </is>
      </c>
    </row>
    <row r="156">
      <c r="A156" s="3" t="inlineStr">
        <is>
          <t>Sahara Occidental</t>
        </is>
      </c>
      <c r="B156" s="3" t="inlineStr">
        <is>
          <t>Afrique</t>
        </is>
      </c>
      <c r="C156" s="10" t="inlineStr">
        <is>
          <t>-</t>
        </is>
      </c>
      <c r="D156" s="3" t="inlineStr">
        <is>
          <t>aucun film de fiction trouvé</t>
        </is>
      </c>
      <c r="E156" s="3" t="inlineStr"/>
      <c r="F156" s="3" t="inlineStr"/>
      <c r="G156" s="3" t="inlineStr"/>
      <c r="H156" s="3" t="inlineStr"/>
      <c r="I156" s="3" t="inlineStr"/>
      <c r="J156" s="3" t="inlineStr"/>
      <c r="K156" s="5" t="inlineStr"/>
      <c r="L156" s="5" t="inlineStr"/>
      <c r="M156" s="5" t="inlineStr"/>
      <c r="N156" s="5" t="inlineStr"/>
      <c r="O156" s="5" t="inlineStr"/>
      <c r="P156" s="5" t="inlineStr">
        <is>
          <t>فيلم وصية شهيد (2012, 0 votes)</t>
        </is>
      </c>
      <c r="Q156" s="5" t="inlineStr">
        <is>
          <t>Sahara Occidental indépendance ou génocide? (1976)</t>
        </is>
      </c>
      <c r="R156" s="5" t="inlineStr"/>
      <c r="S156" s="5" t="inlineStr">
        <is>
          <t>Le seul choix disponible était un documentaire de 1976. Territoire disputé : on peut se rabattre sur le cinéma sahraoui des camps de Tindouf (festival FiSahara).</t>
        </is>
      </c>
    </row>
    <row r="157">
      <c r="A157" s="3" t="inlineStr">
        <is>
          <t>Saint-Christophe-et-Niévès</t>
        </is>
      </c>
      <c r="B157" s="3" t="inlineStr">
        <is>
          <t>Amériques</t>
        </is>
      </c>
      <c r="C157" s="4" t="inlineStr">
        <is>
          <t>B</t>
        </is>
      </c>
      <c r="D157" s="3" t="inlineStr">
        <is>
          <t>moyenne</t>
        </is>
      </c>
      <c r="E157" s="3" t="inlineStr">
        <is>
          <t>The Island</t>
        </is>
      </c>
      <c r="F157" s="3" t="inlineStr">
        <is>
          <t>The Island</t>
        </is>
      </c>
      <c r="G157" s="3" t="inlineStr">
        <is>
          <t>2023</t>
        </is>
      </c>
      <c r="H157" s="3" t="inlineStr">
        <is>
          <t>en</t>
        </is>
      </c>
      <c r="I157" s="3" t="inlineStr"/>
      <c r="J157" s="3" t="n">
        <v>93</v>
      </c>
      <c r="K157" s="5" t="inlineStr">
        <is>
          <t>popularité TMDB : 130 votes</t>
        </is>
      </c>
      <c r="L157" s="5" t="inlineStr"/>
      <c r="M157" s="6" t="inlineStr">
        <is>
          <t>https://www.themoviedb.org/movie/1138749</t>
        </is>
      </c>
      <c r="N157" s="6" t="inlineStr">
        <is>
          <t>https://www.themoviedb.org/movie/1138749</t>
        </is>
      </c>
      <c r="O157" s="5" t="inlineStr"/>
      <c r="P157" s="5" t="inlineStr">
        <is>
          <t>The Island (2023, 130 votes)</t>
        </is>
      </c>
      <c r="Q157" s="5" t="inlineStr"/>
      <c r="R157" s="5" t="inlineStr"/>
      <c r="S157" s="5" t="inlineStr">
        <is>
          <t>Aucune donnée sourcée trouvée dans cette passe</t>
        </is>
      </c>
    </row>
    <row r="158">
      <c r="A158" s="3" t="inlineStr">
        <is>
          <t>Sainte-Lucie</t>
        </is>
      </c>
      <c r="B158" s="3" t="inlineStr">
        <is>
          <t>Amériques</t>
        </is>
      </c>
      <c r="C158" s="8" t="inlineStr">
        <is>
          <t>D</t>
        </is>
      </c>
      <c r="D158" s="3" t="inlineStr">
        <is>
          <t>très faible (moins de 50 votes)</t>
        </is>
      </c>
      <c r="E158" s="3" t="inlineStr">
        <is>
          <t>Troubled Waters</t>
        </is>
      </c>
      <c r="F158" s="3" t="inlineStr">
        <is>
          <t>Troubled Waters</t>
        </is>
      </c>
      <c r="G158" s="3" t="inlineStr">
        <is>
          <t>2012</t>
        </is>
      </c>
      <c r="H158" s="3" t="inlineStr">
        <is>
          <t>en</t>
        </is>
      </c>
      <c r="I158" s="3" t="inlineStr"/>
      <c r="J158" s="3" t="n">
        <v>89</v>
      </c>
      <c r="K158" s="5" t="inlineStr">
        <is>
          <t>popularité TMDB : 0 votes</t>
        </is>
      </c>
      <c r="L158" s="5" t="inlineStr"/>
      <c r="M158" s="6" t="inlineStr">
        <is>
          <t>https://www.themoviedb.org/movie/1596771</t>
        </is>
      </c>
      <c r="N158" s="6" t="inlineStr">
        <is>
          <t>https://www.themoviedb.org/movie/1596771</t>
        </is>
      </c>
      <c r="O158" s="5" t="inlineStr"/>
      <c r="P158" s="5" t="inlineStr">
        <is>
          <t>Troubled Waters (2012, 0 votes)</t>
        </is>
      </c>
      <c r="Q158" s="5" t="inlineStr"/>
      <c r="R158" s="5" t="inlineStr"/>
      <c r="S158" s="5" t="inlineStr">
        <is>
          <t>Aucune donnée sourcée trouvée dans cette passe</t>
        </is>
      </c>
    </row>
    <row r="159">
      <c r="A159" s="3" t="inlineStr">
        <is>
          <t>Saint-Marin</t>
        </is>
      </c>
      <c r="B159" s="3" t="inlineStr">
        <is>
          <t>Europe</t>
        </is>
      </c>
      <c r="C159" s="8" t="inlineStr">
        <is>
          <t>D</t>
        </is>
      </c>
      <c r="D159" s="3" t="inlineStr">
        <is>
          <t>très faible (moins de 50 votes)</t>
        </is>
      </c>
      <c r="E159" s="3" t="inlineStr">
        <is>
          <t>Agape</t>
        </is>
      </c>
      <c r="F159" s="3" t="inlineStr">
        <is>
          <t>Agape</t>
        </is>
      </c>
      <c r="G159" s="3" t="inlineStr">
        <is>
          <t>2024</t>
        </is>
      </c>
      <c r="H159" s="3" t="inlineStr">
        <is>
          <t>it</t>
        </is>
      </c>
      <c r="I159" s="3" t="inlineStr"/>
      <c r="J159" s="3" t="inlineStr"/>
      <c r="K159" s="5" t="inlineStr">
        <is>
          <t>popularité TMDB : 0 votes</t>
        </is>
      </c>
      <c r="L159" s="5" t="inlineStr"/>
      <c r="M159" s="6" t="inlineStr">
        <is>
          <t>https://www.themoviedb.org/movie/1404691</t>
        </is>
      </c>
      <c r="N159" s="6" t="inlineStr">
        <is>
          <t>https://www.themoviedb.org/movie/1404691</t>
        </is>
      </c>
      <c r="O159" s="5" t="inlineStr"/>
      <c r="P159" s="5" t="inlineStr">
        <is>
          <t>Agape (2024, 0 votes)</t>
        </is>
      </c>
      <c r="Q159" s="5" t="inlineStr"/>
      <c r="R159" s="5" t="inlineStr"/>
      <c r="S159" s="5" t="inlineStr">
        <is>
          <t>Pas d'industrie nationale.</t>
        </is>
      </c>
    </row>
    <row r="160">
      <c r="A160" s="3" t="inlineStr">
        <is>
          <t>Saint-Vincent-et-les-Grenadines</t>
        </is>
      </c>
      <c r="B160" s="3" t="inlineStr">
        <is>
          <t>Amériques</t>
        </is>
      </c>
      <c r="C160" s="8" t="inlineStr">
        <is>
          <t>D</t>
        </is>
      </c>
      <c r="D160" s="3" t="inlineStr">
        <is>
          <t>très faible (moins de 50 votes)</t>
        </is>
      </c>
      <c r="E160" s="3" t="inlineStr">
        <is>
          <t>Black Doll</t>
        </is>
      </c>
      <c r="F160" s="3" t="inlineStr">
        <is>
          <t>Black Doll</t>
        </is>
      </c>
      <c r="G160" s="3" t="inlineStr">
        <is>
          <t>2018</t>
        </is>
      </c>
      <c r="H160" s="3" t="inlineStr">
        <is>
          <t>en</t>
        </is>
      </c>
      <c r="I160" s="3" t="inlineStr"/>
      <c r="J160" s="3" t="n">
        <v>4</v>
      </c>
      <c r="K160" s="5" t="inlineStr">
        <is>
          <t>popularité TMDB : 2 votes</t>
        </is>
      </c>
      <c r="L160" s="5" t="inlineStr"/>
      <c r="M160" s="6" t="inlineStr">
        <is>
          <t>https://www.themoviedb.org/movie/999158</t>
        </is>
      </c>
      <c r="N160" s="6" t="inlineStr">
        <is>
          <t>https://www.themoviedb.org/movie/999158</t>
        </is>
      </c>
      <c r="O160" s="5" t="inlineStr"/>
      <c r="P160" s="5" t="inlineStr">
        <is>
          <t>Black Doll (2018, 2 votes)</t>
        </is>
      </c>
      <c r="Q160" s="5" t="inlineStr"/>
      <c r="R160" s="5" t="inlineStr"/>
      <c r="S160" s="5" t="inlineStr">
        <is>
          <t>Aucune donnée sourcée trouvée dans cette passe</t>
        </is>
      </c>
    </row>
    <row r="161">
      <c r="A161" s="3" t="inlineStr">
        <is>
          <t>Salvador</t>
        </is>
      </c>
      <c r="B161" s="3" t="inlineStr">
        <is>
          <t>Amériques</t>
        </is>
      </c>
      <c r="C161" s="7" t="inlineStr">
        <is>
          <t>A</t>
        </is>
      </c>
      <c r="D161" s="3" t="inlineStr">
        <is>
          <t>forte</t>
        </is>
      </c>
      <c r="E161" s="3" t="inlineStr">
        <is>
          <t>La balada de Hortensia</t>
        </is>
      </c>
      <c r="F161" s="3" t="inlineStr">
        <is>
          <t>La balada de Hortensia</t>
        </is>
      </c>
      <c r="G161" s="3" t="inlineStr">
        <is>
          <t>2024</t>
        </is>
      </c>
      <c r="H161" s="3" t="inlineStr">
        <is>
          <t>es</t>
        </is>
      </c>
      <c r="I161" s="3" t="inlineStr"/>
      <c r="J161" s="3" t="n">
        <v>94</v>
      </c>
      <c r="K161" s="5" t="inlineStr">
        <is>
          <t>entrées : 55 000</t>
        </is>
      </c>
      <c r="L161" s="5" t="inlineStr"/>
      <c r="M161" s="6" t="inlineStr">
        <is>
          <t>https://www.screendaily.com/news/premiere-entertainment-groups-the-ballad-of-hortensia-smashes-el-salvador-box-office-record-exclusive/5200419.article</t>
        </is>
      </c>
      <c r="N161" s="6" t="inlineStr">
        <is>
          <t>https://www.themoviedb.org/movie/1366250</t>
        </is>
      </c>
      <c r="O161" s="5" t="inlineStr">
        <is>
          <t>Mojados en Navidad (2025), annoncé 2e de l'historique ; ancien record La Rebusqueda (2014), 22 300</t>
        </is>
      </c>
      <c r="P161" s="5" t="inlineStr">
        <is>
          <t>Polvo de gallo (2021, 7 votes)</t>
        </is>
      </c>
      <c r="Q161" s="5" t="inlineStr">
        <is>
          <t>Fly So Far (2021)</t>
        </is>
      </c>
      <c r="R161" s="5" t="inlineStr"/>
      <c r="S161" s="5" t="inlineStr">
        <is>
          <t>Chiffre de sortie fin 2024, peut avoir évolué.</t>
        </is>
      </c>
    </row>
    <row r="162">
      <c r="A162" s="3" t="inlineStr">
        <is>
          <t>Samoa</t>
        </is>
      </c>
      <c r="B162" s="3" t="inlineStr">
        <is>
          <t>Océanie</t>
        </is>
      </c>
      <c r="C162" s="9" t="inlineStr">
        <is>
          <t>C</t>
        </is>
      </c>
      <c r="D162" s="3" t="inlineStr">
        <is>
          <t>faible (choix éditorial, pas d'audience)</t>
        </is>
      </c>
      <c r="E162" s="3" t="inlineStr">
        <is>
          <t>O le tulafale</t>
        </is>
      </c>
      <c r="F162" s="3" t="inlineStr">
        <is>
          <t>O le tulafale</t>
        </is>
      </c>
      <c r="G162" s="3" t="inlineStr">
        <is>
          <t>2011</t>
        </is>
      </c>
      <c r="H162" s="3" t="inlineStr">
        <is>
          <t>sm</t>
        </is>
      </c>
      <c r="I162" s="3" t="inlineStr"/>
      <c r="J162" s="3" t="n">
        <v>110</v>
      </c>
      <c r="K162" s="5" t="inlineStr">
        <is>
          <t>choix « native » de Films Around the World</t>
        </is>
      </c>
      <c r="L162" s="5" t="inlineStr">
        <is>
          <t>gratuit : Filmtap ; gratuit pub : Plex, Plex Channel, Filmzie</t>
        </is>
      </c>
      <c r="M162" s="6" t="inlineStr">
        <is>
          <t>https://filmsaroundthe.world/country/samoa/films/the-orator-f9c4e654658588bed/</t>
        </is>
      </c>
      <c r="N162" s="6" t="inlineStr">
        <is>
          <t>https://www.themoviedb.org/movie/77322</t>
        </is>
      </c>
      <c r="O162" s="5" t="inlineStr"/>
      <c r="P162" s="5" t="inlineStr">
        <is>
          <t>A Dollar to Dream (2026, 0 votes)</t>
        </is>
      </c>
      <c r="Q162" s="5" t="inlineStr">
        <is>
          <t>The Orator (2011)</t>
        </is>
      </c>
      <c r="R162" s="5" t="inlineStr"/>
      <c r="S162" s="5" t="inlineStr">
        <is>
          <t>No sourced box office data.</t>
        </is>
      </c>
    </row>
    <row r="163">
      <c r="A163" s="3" t="inlineStr">
        <is>
          <t>São Tomé et Príncipe</t>
        </is>
      </c>
      <c r="B163" s="3" t="inlineStr">
        <is>
          <t>Afrique</t>
        </is>
      </c>
      <c r="C163" s="9" t="inlineStr">
        <is>
          <t>C</t>
        </is>
      </c>
      <c r="D163" s="3" t="inlineStr">
        <is>
          <t>faible (choix éditorial, pas d'audience)</t>
        </is>
      </c>
      <c r="E163" s="3" t="inlineStr">
        <is>
          <t>A Frutinha do Equador</t>
        </is>
      </c>
      <c r="F163" s="3" t="inlineStr"/>
      <c r="G163" s="3" t="inlineStr">
        <is>
          <t>1998</t>
        </is>
      </c>
      <c r="H163" s="3" t="inlineStr"/>
      <c r="I163" s="3" t="inlineStr"/>
      <c r="J163" s="3" t="inlineStr"/>
      <c r="K163" s="5" t="inlineStr">
        <is>
          <t>choix « native » de Films Around the World</t>
        </is>
      </c>
      <c r="L163" s="5" t="inlineStr"/>
      <c r="M163" s="6" t="inlineStr">
        <is>
          <t>https://filmsaroundthe.world/country/sao-tome-and-principe/films/a-frutinha-do-equador-f3ee1b3165ff9340c/</t>
        </is>
      </c>
      <c r="N163" s="5" t="inlineStr"/>
      <c r="O163" s="5" t="inlineStr"/>
      <c r="P163" s="5" t="inlineStr">
        <is>
          <t>Viagem Sem Volta 3 (2019, 0 votes)</t>
        </is>
      </c>
      <c r="Q163" s="5" t="inlineStr">
        <is>
          <t>A Frutinha do Equador (1998)</t>
        </is>
      </c>
      <c r="R163" s="5" t="inlineStr"/>
      <c r="S163" s="5" t="inlineStr">
        <is>
          <t>pas de box-office national suivi ou publié trouvé</t>
        </is>
      </c>
    </row>
    <row r="164">
      <c r="A164" s="3" t="inlineStr">
        <is>
          <t>Sénégal</t>
        </is>
      </c>
      <c r="B164" s="3" t="inlineStr">
        <is>
          <t>Afrique</t>
        </is>
      </c>
      <c r="C164" s="4" t="inlineStr">
        <is>
          <t>B</t>
        </is>
      </c>
      <c r="D164" s="3" t="inlineStr">
        <is>
          <t>moyenne</t>
        </is>
      </c>
      <c r="E164" s="3" t="inlineStr">
        <is>
          <t>Touki-Bouki</t>
        </is>
      </c>
      <c r="F164" s="3" t="inlineStr">
        <is>
          <t>Le voyage de la Hyène</t>
        </is>
      </c>
      <c r="G164" s="3" t="inlineStr">
        <is>
          <t>1973</t>
        </is>
      </c>
      <c r="H164" s="3" t="inlineStr">
        <is>
          <t>wo</t>
        </is>
      </c>
      <c r="I164" s="3" t="inlineStr"/>
      <c r="J164" s="3" t="n">
        <v>90</v>
      </c>
      <c r="K164" s="5" t="inlineStr">
        <is>
          <t>popularité TMDB : 127 votes</t>
        </is>
      </c>
      <c r="L164" s="5" t="inlineStr">
        <is>
          <t>abonnement : MUBI, MUBI Amazon Channel</t>
        </is>
      </c>
      <c r="M164" s="6" t="inlineStr">
        <is>
          <t>https://www.themoviedb.org/movie/77771</t>
        </is>
      </c>
      <c r="N164" s="6" t="inlineStr">
        <is>
          <t>https://www.themoviedb.org/movie/77771</t>
        </is>
      </c>
      <c r="O164" s="5" t="inlineStr"/>
      <c r="P164" s="5" t="inlineStr">
        <is>
          <t>Touki-Bouki (1973, 127 votes)</t>
        </is>
      </c>
      <c r="Q164" s="5" t="inlineStr">
        <is>
          <t>Black Girl (1966)</t>
        </is>
      </c>
      <c r="R164" s="5" t="inlineStr"/>
      <c r="S164" s="5" t="inlineStr">
        <is>
          <t>Pas de box-office suivi. Meilleur candidat : Une si longue lettre (2025, Angèle Diabang), resté en tête du box-office de Pathé Dakar tout l'été 2025 devant Jurassic World: Rebirth et Superman (AFP), sans chiffre ni statut de record historique. / pas de box-office national suivi ou publié trouvé</t>
        </is>
      </c>
    </row>
    <row r="165">
      <c r="A165" s="3" t="inlineStr">
        <is>
          <t>Serbie</t>
        </is>
      </c>
      <c r="B165" s="3" t="inlineStr">
        <is>
          <t>Europe</t>
        </is>
      </c>
      <c r="C165" s="7" t="inlineStr">
        <is>
          <t>A</t>
        </is>
      </c>
      <c r="D165" s="3" t="inlineStr">
        <is>
          <t>forte</t>
        </is>
      </c>
      <c r="E165" s="3" t="inlineStr">
        <is>
          <t>Монтевидео, Бог те видео!</t>
        </is>
      </c>
      <c r="F165" s="3" t="inlineStr">
        <is>
          <t>Монтевидео, Бог те видео!</t>
        </is>
      </c>
      <c r="G165" s="3" t="inlineStr">
        <is>
          <t>2010</t>
        </is>
      </c>
      <c r="H165" s="3" t="inlineStr">
        <is>
          <t>sr</t>
        </is>
      </c>
      <c r="I165" s="3" t="inlineStr"/>
      <c r="J165" s="3" t="n">
        <v>140</v>
      </c>
      <c r="K165" s="5" t="inlineStr">
        <is>
          <t>entrées : plus de 520 000</t>
        </is>
      </c>
      <c r="L165" s="5" t="inlineStr"/>
      <c r="M165" s="6" t="inlineStr">
        <is>
          <t>https://en.wikipedia.org/wiki/Montevideo,_God_Bless_You!</t>
        </is>
      </c>
      <c r="N165" s="6" t="inlineStr">
        <is>
          <t>https://www.themoviedb.org/movie/57419</t>
        </is>
      </c>
      <c r="O165" s="5" t="inlineStr">
        <is>
          <t>Nedelja (2024, environ 500 000)</t>
        </is>
      </c>
      <c r="P165" s="5" t="inlineStr">
        <is>
          <t>Srpski film (2010, 2303 votes)</t>
        </is>
      </c>
      <c r="Q165" s="5" t="inlineStr">
        <is>
          <t>Black Cat, White Cat (1998)</t>
        </is>
      </c>
      <c r="R165" s="5" t="inlineStr"/>
      <c r="S165" s="5" t="inlineStr">
        <is>
          <t>Ambigu : Nedelja revendique 500 000 spectateurs (Wikipedia serbe), très proche, et une autre source donnait 347 622. Films de l'ère yougoslave non comparés.</t>
        </is>
      </c>
    </row>
    <row r="166">
      <c r="A166" s="3" t="inlineStr">
        <is>
          <t>Seychelles</t>
        </is>
      </c>
      <c r="B166" s="3" t="inlineStr">
        <is>
          <t>Afrique</t>
        </is>
      </c>
      <c r="C166" s="9" t="inlineStr">
        <is>
          <t>C</t>
        </is>
      </c>
      <c r="D166" s="3" t="inlineStr">
        <is>
          <t>faible (choix éditorial, pas d'audience)</t>
        </is>
      </c>
      <c r="E166" s="3" t="inlineStr">
        <is>
          <t>Bolot Feray</t>
        </is>
      </c>
      <c r="F166" s="3" t="inlineStr">
        <is>
          <t>Bolot Feray</t>
        </is>
      </c>
      <c r="G166" s="3" t="inlineStr">
        <is>
          <t>1995</t>
        </is>
      </c>
      <c r="H166" s="3" t="inlineStr">
        <is>
          <t>fr</t>
        </is>
      </c>
      <c r="I166" s="3" t="inlineStr"/>
      <c r="J166" s="3" t="n">
        <v>125</v>
      </c>
      <c r="K166" s="5" t="inlineStr">
        <is>
          <t>choix « native » de Films Around the World</t>
        </is>
      </c>
      <c r="L166" s="5" t="inlineStr"/>
      <c r="M166" s="6" t="inlineStr">
        <is>
          <t>https://filmsaroundthe.world/country/seychelles/films/bolot-feray-f7549482b57cf5ed7/</t>
        </is>
      </c>
      <c r="N166" s="6" t="inlineStr">
        <is>
          <t>https://www.themoviedb.org/movie/621202</t>
        </is>
      </c>
      <c r="O166" s="5" t="inlineStr"/>
      <c r="P166" s="5" t="inlineStr">
        <is>
          <t>Threads (2026, 1 votes)</t>
        </is>
      </c>
      <c r="Q166" s="5" t="inlineStr">
        <is>
          <t>Bolot Feray (1995)</t>
        </is>
      </c>
      <c r="R166" s="5" t="inlineStr"/>
      <c r="S166" s="5" t="inlineStr">
        <is>
          <t>pas de box-office national suivi ou publié trouvé</t>
        </is>
      </c>
    </row>
    <row r="167">
      <c r="A167" s="3" t="inlineStr">
        <is>
          <t>Sierra Leone</t>
        </is>
      </c>
      <c r="B167" s="3" t="inlineStr">
        <is>
          <t>Afrique</t>
        </is>
      </c>
      <c r="C167" s="8" t="inlineStr">
        <is>
          <t>D</t>
        </is>
      </c>
      <c r="D167" s="3" t="inlineStr">
        <is>
          <t>très faible (moins de 50 votes)</t>
        </is>
      </c>
      <c r="E167" s="3" t="inlineStr">
        <is>
          <t>Tangled With the Boss</t>
        </is>
      </c>
      <c r="F167" s="3" t="inlineStr">
        <is>
          <t>Tangled With the Boss</t>
        </is>
      </c>
      <c r="G167" s="3" t="inlineStr">
        <is>
          <t>2021</t>
        </is>
      </c>
      <c r="H167" s="3" t="inlineStr">
        <is>
          <t>en</t>
        </is>
      </c>
      <c r="I167" s="3" t="inlineStr"/>
      <c r="J167" s="3" t="n">
        <v>85</v>
      </c>
      <c r="K167" s="5" t="inlineStr">
        <is>
          <t>popularité TMDB : 1 votes</t>
        </is>
      </c>
      <c r="L167" s="5" t="inlineStr"/>
      <c r="M167" s="6" t="inlineStr">
        <is>
          <t>https://www.themoviedb.org/movie/1251987</t>
        </is>
      </c>
      <c r="N167" s="6" t="inlineStr">
        <is>
          <t>https://www.themoviedb.org/movie/1251987</t>
        </is>
      </c>
      <c r="O167" s="5" t="inlineStr"/>
      <c r="P167" s="5" t="inlineStr">
        <is>
          <t>Tangled With the Boss (2021, 1 votes)</t>
        </is>
      </c>
      <c r="Q167" s="5" t="inlineStr">
        <is>
          <t>Survivors (2018)</t>
        </is>
      </c>
      <c r="R167" s="5" t="inlineStr"/>
      <c r="S167" s="5" t="inlineStr">
        <is>
          <t>pas de box-office national suivi ou publié trouvé</t>
        </is>
      </c>
    </row>
    <row r="168">
      <c r="A168" s="3" t="inlineStr">
        <is>
          <t>Singapour</t>
        </is>
      </c>
      <c r="B168" s="3" t="inlineStr">
        <is>
          <t>Asie</t>
        </is>
      </c>
      <c r="C168" s="7" t="inlineStr">
        <is>
          <t>A</t>
        </is>
      </c>
      <c r="D168" s="3" t="inlineStr">
        <is>
          <t>bonne</t>
        </is>
      </c>
      <c r="E168" s="3" t="inlineStr">
        <is>
          <t>Ah Boys to Men 2</t>
        </is>
      </c>
      <c r="F168" s="3" t="inlineStr">
        <is>
          <t>新兵正传2</t>
        </is>
      </c>
      <c r="G168" s="3" t="inlineStr">
        <is>
          <t>2013</t>
        </is>
      </c>
      <c r="H168" s="3" t="inlineStr">
        <is>
          <t>zh</t>
        </is>
      </c>
      <c r="I168" s="3" t="inlineStr"/>
      <c r="J168" s="3" t="n">
        <v>113</v>
      </c>
      <c r="K168" s="5" t="inlineStr">
        <is>
          <t>recettes nationales : S$7.90M</t>
        </is>
      </c>
      <c r="L168" s="5" t="inlineStr"/>
      <c r="M168" s="6" t="inlineStr">
        <is>
          <t>https://en.wikipedia.org/wiki/List_of_highest-grossing_films_in_Singapore</t>
        </is>
      </c>
      <c r="N168" s="6" t="inlineStr">
        <is>
          <t>https://www.themoviedb.org/movie/193173</t>
        </is>
      </c>
      <c r="O168" s="5" t="inlineStr">
        <is>
          <t>Ah Boys to Men 3: Frogmen (S$7.62M)</t>
        </is>
      </c>
      <c r="P168" s="5" t="inlineStr">
        <is>
          <t>Bait (2012, 830 votes)</t>
        </is>
      </c>
      <c r="Q168" s="5" t="inlineStr">
        <is>
          <t>Ilo Ilo (2013)</t>
        </is>
      </c>
      <c r="R168" s="5" t="inlineStr"/>
      <c r="S168" s="5" t="inlineStr">
        <is>
          <t>Multilingual (Mandarin, English, Hokkien); language coded zh. Ip Man 3 excluded (Hong Kong film).</t>
        </is>
      </c>
    </row>
    <row r="169">
      <c r="A169" s="3" t="inlineStr">
        <is>
          <t>Slovaquie</t>
        </is>
      </c>
      <c r="B169" s="3" t="inlineStr">
        <is>
          <t>Europe</t>
        </is>
      </c>
      <c r="C169" s="7" t="inlineStr">
        <is>
          <t>A</t>
        </is>
      </c>
      <c r="D169" s="3" t="inlineStr">
        <is>
          <t>forte</t>
        </is>
      </c>
      <c r="E169" s="3" t="inlineStr">
        <is>
          <t>Sviňa</t>
        </is>
      </c>
      <c r="F169" s="3" t="inlineStr">
        <is>
          <t>Sviňa</t>
        </is>
      </c>
      <c r="G169" s="3" t="inlineStr">
        <is>
          <t>2020</t>
        </is>
      </c>
      <c r="H169" s="3" t="inlineStr">
        <is>
          <t>sk</t>
        </is>
      </c>
      <c r="I169" s="3" t="inlineStr"/>
      <c r="J169" s="3" t="n">
        <v>104</v>
      </c>
      <c r="K169" s="5" t="inlineStr">
        <is>
          <t>entrées : 389358</t>
        </is>
      </c>
      <c r="L169" s="5" t="inlineStr"/>
      <c r="M169" s="6" t="inlineStr">
        <is>
          <t>https://www.film.sk</t>
        </is>
      </c>
      <c r="N169" s="6" t="inlineStr">
        <is>
          <t>https://www.themoviedb.org/movie/650981</t>
        </is>
      </c>
      <c r="O169" s="5" t="inlineStr">
        <is>
          <t>Bathory (2008), 432300</t>
        </is>
      </c>
      <c r="P169" s="5" t="inlineStr">
        <is>
          <t>Lóve (2011, 36 votes)</t>
        </is>
      </c>
      <c r="Q169" s="5" t="inlineStr">
        <is>
          <t>The Garden (1995)</t>
        </is>
      </c>
      <c r="R169" s="5" t="inlineStr"/>
      <c r="S169" s="5" t="inlineStr">
        <is>
          <t>Ambigu : Bathory fait plus mais est une coproduction tournée en anglais, écarté. Depuis l'indépendance.</t>
        </is>
      </c>
    </row>
    <row r="170">
      <c r="A170" s="3" t="inlineStr">
        <is>
          <t>Slovénie</t>
        </is>
      </c>
      <c r="B170" s="3" t="inlineStr">
        <is>
          <t>Europe</t>
        </is>
      </c>
      <c r="C170" s="7" t="inlineStr">
        <is>
          <t>A</t>
        </is>
      </c>
      <c r="D170" s="3" t="inlineStr">
        <is>
          <t>forte</t>
        </is>
      </c>
      <c r="E170" s="3" t="inlineStr">
        <is>
          <t>Pr' Hostar</t>
        </is>
      </c>
      <c r="F170" s="3" t="inlineStr">
        <is>
          <t>Pr' Hostar</t>
        </is>
      </c>
      <c r="G170" s="3" t="inlineStr">
        <is>
          <t>2016</t>
        </is>
      </c>
      <c r="H170" s="3" t="inlineStr">
        <is>
          <t>sl</t>
        </is>
      </c>
      <c r="I170" s="3" t="inlineStr"/>
      <c r="J170" s="3" t="n">
        <v>87</v>
      </c>
      <c r="K170" s="5" t="inlineStr">
        <is>
          <t>entrées : 212812</t>
        </is>
      </c>
      <c r="L170" s="5" t="inlineStr"/>
      <c r="M170" s="6" t="inlineStr">
        <is>
          <t>https://sl.wikipedia.org/wiki/Seznam_najbolj_gledanih_slovenskih_filmov_v_Sloveniji</t>
        </is>
      </c>
      <c r="N170" s="6" t="inlineStr">
        <is>
          <t>https://www.themoviedb.org/movie/421802</t>
        </is>
      </c>
      <c r="O170" s="5" t="inlineStr">
        <is>
          <t>Gremo mi po svoje (2010), 208737</t>
        </is>
      </c>
      <c r="P170" s="5" t="inlineStr">
        <is>
          <t>Razredni sovražnik (2013, 89 votes)</t>
        </is>
      </c>
      <c r="Q170" s="5" t="inlineStr">
        <is>
          <t>Houston, We Have a Problem! (2016)</t>
        </is>
      </c>
      <c r="R170" s="5" t="inlineStr"/>
      <c r="S170" s="5" t="inlineStr">
        <is>
          <t>Slovénie indépendante.</t>
        </is>
      </c>
    </row>
    <row r="171">
      <c r="A171" s="3" t="inlineStr">
        <is>
          <t>Somalie</t>
        </is>
      </c>
      <c r="B171" s="3" t="inlineStr">
        <is>
          <t>Afrique</t>
        </is>
      </c>
      <c r="C171" s="9" t="inlineStr">
        <is>
          <t>C</t>
        </is>
      </c>
      <c r="D171" s="3" t="inlineStr">
        <is>
          <t>faible (choix éditorial, pas d'audience)</t>
        </is>
      </c>
      <c r="E171" s="3" t="inlineStr">
        <is>
          <t>Geedka nolosha</t>
        </is>
      </c>
      <c r="F171" s="3" t="inlineStr">
        <is>
          <t>Geedka nolosha</t>
        </is>
      </c>
      <c r="G171" s="3" t="inlineStr">
        <is>
          <t>1988</t>
        </is>
      </c>
      <c r="H171" s="3" t="inlineStr">
        <is>
          <t>so</t>
        </is>
      </c>
      <c r="I171" s="3" t="inlineStr"/>
      <c r="J171" s="3" t="n">
        <v>23</v>
      </c>
      <c r="K171" s="5" t="inlineStr">
        <is>
          <t>choix « native » de Films Around the World</t>
        </is>
      </c>
      <c r="L171" s="5" t="inlineStr"/>
      <c r="M171" s="6" t="inlineStr">
        <is>
          <t>https://filmsaroundthe.world/country/somalia/films/geedka-nolosha-faa358e95cf466bf3/</t>
        </is>
      </c>
      <c r="N171" s="6" t="inlineStr">
        <is>
          <t>https://www.themoviedb.org/movie/276682</t>
        </is>
      </c>
      <c r="O171" s="5" t="inlineStr"/>
      <c r="P171" s="5" t="inlineStr">
        <is>
          <t>Geedka nolosha (1988, 5 votes)</t>
        </is>
      </c>
      <c r="Q171" s="5" t="inlineStr">
        <is>
          <t>Geedka nolosha (1988)</t>
        </is>
      </c>
      <c r="R171" s="5" t="inlineStr">
        <is>
          <t>Qabiil 4.5, série de films somaliens de la diaspora diffusée sur YouTube (https://youtube.com/watch?v=0YeuRDekiYs), choisie par la liste Letterboxd de jamesjonathan. C'est sans doute là qu'est le vrai cinéma populaire somalien.</t>
        </is>
      </c>
      <c r="S171" s="5" t="inlineStr">
        <is>
          <t>Alternative plus accessible : The Gravedigger's Wife / Guled &amp; Nasra (2021), en somali, premier film envoyé aux Oscars par la Somalie et Étalon d'or du FESPACO, mais produit par la Finlande, d'où il n'est pas retenu ici. Pas de salles significatives ni de box-office ; cinéma de vidéo/YouTube. Aucun long-métrage nommé avec un nombre de vues fiable. / Pas de box-office ; production surtout sur YouTube, aucun candidat sourcé retenu.</t>
        </is>
      </c>
    </row>
    <row r="172">
      <c r="A172" s="3" t="inlineStr">
        <is>
          <t>Soudan</t>
        </is>
      </c>
      <c r="B172" s="3" t="inlineStr">
        <is>
          <t>Afrique</t>
        </is>
      </c>
      <c r="C172" s="9" t="inlineStr">
        <is>
          <t>C</t>
        </is>
      </c>
      <c r="D172" s="3" t="inlineStr">
        <is>
          <t>faible (choix éditorial, pas d'audience)</t>
        </is>
      </c>
      <c r="E172" s="3" t="inlineStr">
        <is>
          <t>ستموت في العشرين</t>
        </is>
      </c>
      <c r="F172" s="3" t="inlineStr">
        <is>
          <t>Tu mourras à 20 ans</t>
        </is>
      </c>
      <c r="G172" s="3" t="inlineStr">
        <is>
          <t>2019</t>
        </is>
      </c>
      <c r="H172" s="3" t="inlineStr">
        <is>
          <t>ar</t>
        </is>
      </c>
      <c r="I172" s="3" t="inlineStr"/>
      <c r="J172" s="3" t="n">
        <v>105</v>
      </c>
      <c r="K172" s="5" t="inlineStr">
        <is>
          <t>choix « native » de Films Around the World</t>
        </is>
      </c>
      <c r="L172" s="5" t="inlineStr">
        <is>
          <t>location : Orange VOD, Rakuten TV, Canal VOD, Sooner ; achat : Orange VOD, Rakuten TV, Canal VOD, Sooner</t>
        </is>
      </c>
      <c r="M172" s="6" t="inlineStr">
        <is>
          <t>https://filmsaroundthe.world/country/sudan/films/you-will-die-at-20-f0fb74ef42e0ea990/</t>
        </is>
      </c>
      <c r="N172" s="6" t="inlineStr">
        <is>
          <t>https://www.themoviedb.org/movie/617710</t>
        </is>
      </c>
      <c r="O172" s="5" t="inlineStr"/>
      <c r="P172" s="5" t="inlineStr">
        <is>
          <t>Train Station (2015, 4 votes)</t>
        </is>
      </c>
      <c r="Q172" s="5" t="inlineStr">
        <is>
          <t>You Will Die at 20 (2019)</t>
        </is>
      </c>
      <c r="R172" s="5" t="inlineStr"/>
      <c r="S172" s="5" t="inlineStr">
        <is>
          <t>pas de box-office national suivi ou publié trouvé</t>
        </is>
      </c>
    </row>
    <row r="173">
      <c r="A173" s="3" t="inlineStr">
        <is>
          <t>Soudan du Sud</t>
        </is>
      </c>
      <c r="B173" s="3" t="inlineStr">
        <is>
          <t>Afrique</t>
        </is>
      </c>
      <c r="C173" s="8" t="inlineStr">
        <is>
          <t>D</t>
        </is>
      </c>
      <c r="D173" s="3" t="inlineStr">
        <is>
          <t>très faible (moins de 50 votes)</t>
        </is>
      </c>
      <c r="E173" s="3" t="inlineStr">
        <is>
          <t>Lost Boy in Juba</t>
        </is>
      </c>
      <c r="F173" s="3" t="inlineStr">
        <is>
          <t>Lost Boy in Juba</t>
        </is>
      </c>
      <c r="G173" s="3" t="inlineStr">
        <is>
          <t>2017</t>
        </is>
      </c>
      <c r="H173" s="3" t="inlineStr">
        <is>
          <t>en</t>
        </is>
      </c>
      <c r="I173" s="3" t="inlineStr"/>
      <c r="J173" s="3" t="n">
        <v>4</v>
      </c>
      <c r="K173" s="5" t="inlineStr">
        <is>
          <t>popularité TMDB : 1 votes</t>
        </is>
      </c>
      <c r="L173" s="5" t="inlineStr"/>
      <c r="M173" s="6" t="inlineStr">
        <is>
          <t>https://www.themoviedb.org/movie/1152618</t>
        </is>
      </c>
      <c r="N173" s="6" t="inlineStr">
        <is>
          <t>https://www.themoviedb.org/movie/1152618</t>
        </is>
      </c>
      <c r="O173" s="5" t="inlineStr"/>
      <c r="P173" s="5" t="inlineStr">
        <is>
          <t>Lost Boy in Juba (2017, 1 votes)</t>
        </is>
      </c>
      <c r="Q173" s="5" t="inlineStr">
        <is>
          <t>No Simple Way Home (2022)</t>
        </is>
      </c>
      <c r="R173" s="5" t="inlineStr"/>
      <c r="S173" s="5" t="inlineStr">
        <is>
          <t>pas de box-office national suivi ou publié trouvé</t>
        </is>
      </c>
    </row>
    <row r="174">
      <c r="A174" s="3" t="inlineStr">
        <is>
          <t>Sri Lanka</t>
        </is>
      </c>
      <c r="B174" s="3" t="inlineStr">
        <is>
          <t>Asie</t>
        </is>
      </c>
      <c r="C174" s="7" t="inlineStr">
        <is>
          <t>A</t>
        </is>
      </c>
      <c r="D174" s="3" t="inlineStr">
        <is>
          <t>bonne</t>
        </is>
      </c>
      <c r="E174" s="3" t="inlineStr">
        <is>
          <t>ගජමන්</t>
        </is>
      </c>
      <c r="F174" s="3" t="inlineStr">
        <is>
          <t>ගජමෑන්</t>
        </is>
      </c>
      <c r="G174" s="3" t="inlineStr">
        <is>
          <t>2023</t>
        </is>
      </c>
      <c r="H174" s="3" t="inlineStr">
        <is>
          <t>si</t>
        </is>
      </c>
      <c r="I174" s="3" t="inlineStr">
        <is>
          <t>oui</t>
        </is>
      </c>
      <c r="J174" s="3" t="n">
        <v>99</v>
      </c>
      <c r="K174" s="5" t="inlineStr">
        <is>
          <t>recettes nationales : LKR 610M</t>
        </is>
      </c>
      <c r="L174" s="5" t="inlineStr"/>
      <c r="M174" s="6" t="inlineStr">
        <is>
          <t>https://variety.com/2025/film/news/sri-lankan-comedy-tentigo-remakes-box-office-success-1236486395/</t>
        </is>
      </c>
      <c r="N174" s="6" t="inlineStr">
        <is>
          <t>https://www.themoviedb.org/movie/881201</t>
        </is>
      </c>
      <c r="O174" s="5" t="inlineStr">
        <is>
          <t>Tentigo (2025, LKR 450M)</t>
        </is>
      </c>
      <c r="P174" s="5" t="inlineStr">
        <is>
          <t>නිදහසේ පියා DS (2018, 11 votes)</t>
        </is>
      </c>
      <c r="Q174" s="5" t="inlineStr">
        <is>
          <t>Gamani (2011)</t>
        </is>
      </c>
      <c r="R174" s="5" t="inlineStr"/>
      <c r="S174" s="5" t="inlineStr">
        <is>
          <t>Ambiguous: Dharmayuddhaya II (2026) set a record opening weekend with no total available; older claim for Sooriya Arana (2004).</t>
        </is>
      </c>
    </row>
    <row r="175">
      <c r="A175" s="3" t="inlineStr">
        <is>
          <t>Suède</t>
        </is>
      </c>
      <c r="B175" s="3" t="inlineStr">
        <is>
          <t>Europe</t>
        </is>
      </c>
      <c r="C175" s="7" t="inlineStr">
        <is>
          <t>A</t>
        </is>
      </c>
      <c r="D175" s="3" t="inlineStr">
        <is>
          <t>forte</t>
        </is>
      </c>
      <c r="E175" s="3" t="inlineStr">
        <is>
          <t>Sällskapsresan</t>
        </is>
      </c>
      <c r="F175" s="3" t="inlineStr">
        <is>
          <t>Voyage organisé</t>
        </is>
      </c>
      <c r="G175" s="3" t="inlineStr">
        <is>
          <t>1980</t>
        </is>
      </c>
      <c r="H175" s="3" t="inlineStr">
        <is>
          <t>sv</t>
        </is>
      </c>
      <c r="I175" s="3" t="inlineStr"/>
      <c r="J175" s="3" t="n">
        <v>107</v>
      </c>
      <c r="K175" s="5" t="inlineStr">
        <is>
          <t>entrées : 2038785</t>
        </is>
      </c>
      <c r="L175" s="5" t="inlineStr">
        <is>
          <t>abonnement : Netflix, Netflix Standard with Ads</t>
        </is>
      </c>
      <c r="M175" s="6" t="inlineStr">
        <is>
          <t>https://sv.wikipedia.org/wiki/Lista_%C3%B6ver_mest_sedda_filmer_i_Sverige</t>
        </is>
      </c>
      <c r="N175" s="6" t="inlineStr">
        <is>
          <t>https://www.themoviedb.org/movie/16026</t>
        </is>
      </c>
      <c r="O175" s="5" t="inlineStr">
        <is>
          <t>Att angöra en brygga (1965), 1806323</t>
        </is>
      </c>
      <c r="P175" s="5" t="inlineStr">
        <is>
          <t>Det sjunde inseglet (1957, 3497 votes)</t>
        </is>
      </c>
      <c r="Q175" s="5" t="inlineStr">
        <is>
          <t>The Seventh Seal (1957)</t>
        </is>
      </c>
      <c r="R175" s="5" t="inlineStr"/>
      <c r="S175" s="5" t="inlineStr">
        <is>
          <t>Période 1965-2020.</t>
        </is>
      </c>
    </row>
    <row r="176">
      <c r="A176" s="3" t="inlineStr">
        <is>
          <t>Suisse</t>
        </is>
      </c>
      <c r="B176" s="3" t="inlineStr">
        <is>
          <t>Europe</t>
        </is>
      </c>
      <c r="C176" s="7" t="inlineStr">
        <is>
          <t>A</t>
        </is>
      </c>
      <c r="D176" s="3" t="inlineStr">
        <is>
          <t>forte</t>
        </is>
      </c>
      <c r="E176" s="3" t="inlineStr">
        <is>
          <t>Die Schweizermacher</t>
        </is>
      </c>
      <c r="F176" s="3" t="inlineStr">
        <is>
          <t>Les Faiseurs de Suisses</t>
        </is>
      </c>
      <c r="G176" s="3" t="inlineStr">
        <is>
          <t>1978</t>
        </is>
      </c>
      <c r="H176" s="3" t="inlineStr">
        <is>
          <t>de</t>
        </is>
      </c>
      <c r="I176" s="3" t="inlineStr"/>
      <c r="J176" s="3" t="n">
        <v>107</v>
      </c>
      <c r="K176" s="5" t="inlineStr">
        <is>
          <t>entrées : 941971</t>
        </is>
      </c>
      <c r="L176" s="5" t="inlineStr">
        <is>
          <t>location : Apple TV Store ; achat : Apple TV Store</t>
        </is>
      </c>
      <c r="M176" s="6" t="inlineStr">
        <is>
          <t>https://outnow.ch</t>
        </is>
      </c>
      <c r="N176" s="6" t="inlineStr">
        <is>
          <t>https://www.themoviedb.org/movie/34666</t>
        </is>
      </c>
      <c r="O176" s="5" t="inlineStr"/>
      <c r="P176" s="5" t="inlineStr">
        <is>
          <t>Cargo (2009, 462 votes)</t>
        </is>
      </c>
      <c r="Q176" s="5" t="inlineStr">
        <is>
          <t>Bread and Tulips (2000)</t>
        </is>
      </c>
      <c r="R176" s="5" t="inlineStr"/>
      <c r="S176" s="5" t="inlineStr">
        <is>
          <t>Source outnow.ch / OFS, chiffre approximatif.</t>
        </is>
      </c>
    </row>
    <row r="177">
      <c r="A177" s="3" t="inlineStr">
        <is>
          <t>Surinam</t>
        </is>
      </c>
      <c r="B177" s="3" t="inlineStr">
        <is>
          <t>Amériques</t>
        </is>
      </c>
      <c r="C177" s="8" t="inlineStr">
        <is>
          <t>D</t>
        </is>
      </c>
      <c r="D177" s="3" t="inlineStr">
        <is>
          <t>très faible (moins de 50 votes)</t>
        </is>
      </c>
      <c r="E177" s="3" t="inlineStr">
        <is>
          <t>Wan Pipel</t>
        </is>
      </c>
      <c r="F177" s="3" t="inlineStr">
        <is>
          <t>Wan Pipel</t>
        </is>
      </c>
      <c r="G177" s="3" t="inlineStr">
        <is>
          <t>1976</t>
        </is>
      </c>
      <c r="H177" s="3" t="inlineStr">
        <is>
          <t>nl</t>
        </is>
      </c>
      <c r="I177" s="3" t="inlineStr"/>
      <c r="J177" s="3" t="n">
        <v>111</v>
      </c>
      <c r="K177" s="5" t="inlineStr">
        <is>
          <t>popularité TMDB : 10 votes</t>
        </is>
      </c>
      <c r="L177" s="5" t="inlineStr"/>
      <c r="M177" s="6" t="inlineStr">
        <is>
          <t>https://www.themoviedb.org/movie/65432</t>
        </is>
      </c>
      <c r="N177" s="6" t="inlineStr">
        <is>
          <t>https://www.themoviedb.org/movie/65432</t>
        </is>
      </c>
      <c r="O177" s="5" t="inlineStr"/>
      <c r="P177" s="5" t="inlineStr">
        <is>
          <t>Wan Pipel (1976, 10 votes)</t>
        </is>
      </c>
      <c r="Q177" s="5" t="inlineStr"/>
      <c r="R177" s="5" t="inlineStr"/>
      <c r="S177" s="5" t="inlineStr">
        <is>
          <t>Pas de box-office suivi. / Aucune donnée sourcée trouvée dans cette passe</t>
        </is>
      </c>
    </row>
    <row r="178">
      <c r="A178" s="3" t="inlineStr">
        <is>
          <t>Syrie</t>
        </is>
      </c>
      <c r="B178" s="3" t="inlineStr">
        <is>
          <t>Moyen-Orient</t>
        </is>
      </c>
      <c r="C178" s="8" t="inlineStr">
        <is>
          <t>D</t>
        </is>
      </c>
      <c r="D178" s="3" t="inlineStr">
        <is>
          <t>très faible (moins de 50 votes)</t>
        </is>
      </c>
      <c r="E178" s="3" t="inlineStr">
        <is>
          <t>المخدوعون</t>
        </is>
      </c>
      <c r="F178" s="3" t="inlineStr">
        <is>
          <t>Les Dupes</t>
        </is>
      </c>
      <c r="G178" s="3" t="inlineStr">
        <is>
          <t>1972</t>
        </is>
      </c>
      <c r="H178" s="3" t="inlineStr">
        <is>
          <t>ar</t>
        </is>
      </c>
      <c r="I178" s="3" t="inlineStr"/>
      <c r="J178" s="3" t="n">
        <v>107</v>
      </c>
      <c r="K178" s="5" t="inlineStr">
        <is>
          <t>popularité TMDB : 21 votes</t>
        </is>
      </c>
      <c r="L178" s="5" t="inlineStr"/>
      <c r="M178" s="6" t="inlineStr">
        <is>
          <t>https://www.themoviedb.org/movie/178535</t>
        </is>
      </c>
      <c r="N178" s="6" t="inlineStr">
        <is>
          <t>https://www.themoviedb.org/movie/178535</t>
        </is>
      </c>
      <c r="O178" s="5" t="inlineStr"/>
      <c r="P178" s="5" t="inlineStr">
        <is>
          <t>المخدوعون (1972, 21 votes)</t>
        </is>
      </c>
      <c r="Q178" s="5" t="inlineStr">
        <is>
          <t>For Sama (2019)</t>
        </is>
      </c>
      <c r="R178" s="5" t="inlineStr"/>
      <c r="S178" s="5" t="inlineStr">
        <is>
          <t>Pas de box-office suivi ; seule mention : Memory of a Night of Love (1973) « succès commercial », sans chiffre. / pas de box-office national suivi ou publié trouvé</t>
        </is>
      </c>
    </row>
    <row r="179">
      <c r="A179" s="3" t="inlineStr">
        <is>
          <t>Tadjikistan</t>
        </is>
      </c>
      <c r="B179" s="3" t="inlineStr">
        <is>
          <t>Asie</t>
        </is>
      </c>
      <c r="C179" s="9" t="inlineStr">
        <is>
          <t>C</t>
        </is>
      </c>
      <c r="D179" s="3" t="inlineStr">
        <is>
          <t>faible (choix éditorial, pas d'audience)</t>
        </is>
      </c>
      <c r="E179" s="3" t="inlineStr">
        <is>
          <t>Телохранитель</t>
        </is>
      </c>
      <c r="F179" s="3" t="inlineStr">
        <is>
          <t>Телохранитель</t>
        </is>
      </c>
      <c r="G179" s="3" t="inlineStr">
        <is>
          <t>1979</t>
        </is>
      </c>
      <c r="H179" s="3" t="inlineStr">
        <is>
          <t>ru</t>
        </is>
      </c>
      <c r="I179" s="3" t="inlineStr"/>
      <c r="J179" s="3" t="n">
        <v>90</v>
      </c>
      <c r="K179" s="5" t="inlineStr">
        <is>
          <t>choix « native » de Films Around the World</t>
        </is>
      </c>
      <c r="L179" s="5" t="inlineStr"/>
      <c r="M179" s="6" t="inlineStr">
        <is>
          <t>https://filmsaroundthe.world/country/tajikistan/films/the-bodyguard-f95f978289c2ebe76/</t>
        </is>
      </c>
      <c r="N179" s="6" t="inlineStr">
        <is>
          <t>https://www.themoviedb.org/movie/262514</t>
        </is>
      </c>
      <c r="O179" s="5" t="inlineStr"/>
      <c r="P179" s="5" t="inlineStr">
        <is>
          <t>Лунный папа (1999, 43 votes)</t>
        </is>
      </c>
      <c r="Q179" s="5" t="inlineStr">
        <is>
          <t>The Bodyguard (1979)</t>
        </is>
      </c>
      <c r="R179" s="5" t="inlineStr"/>
      <c r="S179" s="5" t="inlineStr">
        <is>
          <t>No sourced box office data.</t>
        </is>
      </c>
    </row>
    <row r="180">
      <c r="A180" s="3" t="inlineStr">
        <is>
          <t>Taïwan</t>
        </is>
      </c>
      <c r="B180" s="3" t="inlineStr">
        <is>
          <t>Asie</t>
        </is>
      </c>
      <c r="C180" s="7" t="inlineStr">
        <is>
          <t>A</t>
        </is>
      </c>
      <c r="D180" s="3" t="inlineStr">
        <is>
          <t>bonne</t>
        </is>
      </c>
      <c r="E180" s="3" t="inlineStr">
        <is>
          <t>陽光女子合唱團</t>
        </is>
      </c>
      <c r="F180" s="3" t="inlineStr">
        <is>
          <t>陽光女子合唱團</t>
        </is>
      </c>
      <c r="G180" s="3" t="inlineStr">
        <is>
          <t>2025</t>
        </is>
      </c>
      <c r="H180" s="3" t="inlineStr">
        <is>
          <t>zh</t>
        </is>
      </c>
      <c r="I180" s="3" t="inlineStr"/>
      <c r="J180" s="3" t="n">
        <v>135</v>
      </c>
      <c r="K180" s="5" t="inlineStr">
        <is>
          <t>recettes nationales : NT$741.8M (Wikipedia list); NT$670M by 27 Feb 2026 (CNA)</t>
        </is>
      </c>
      <c r="L180" s="5" t="inlineStr">
        <is>
          <t>abonnement : Netflix, Netflix Standard with Ads</t>
        </is>
      </c>
      <c r="M180" s="6" t="inlineStr">
        <is>
          <t>https://www.cna.com.tw/news/amov/202602150093.aspx</t>
        </is>
      </c>
      <c r="N180" s="6" t="inlineStr">
        <is>
          <t>https://www.themoviedb.org/movie/1481955</t>
        </is>
      </c>
      <c r="O180" s="5" t="inlineStr">
        <is>
          <t>Cape No. 7 (2008, NT$534.35M)</t>
        </is>
      </c>
      <c r="P180" s="5" t="inlineStr">
        <is>
          <t>哭悲 (2021, 1258 votes)</t>
        </is>
      </c>
      <c r="Q180" s="5" t="inlineStr">
        <is>
          <t>Crouching Tiger, Hidden Dragon (2000)</t>
        </is>
      </c>
      <c r="R180" s="5" t="inlineStr"/>
      <c r="S180" s="5" t="inlineStr">
        <is>
          <t>Mandarin. Remake of the Korean film Harmony (2010); sources differ on the total. Variety: https://variety.com/2026/film/box-office/sunshine-womens-choir-highest-grossing-taiwanese-film-1236663778/</t>
        </is>
      </c>
    </row>
    <row r="181">
      <c r="A181" s="3" t="inlineStr">
        <is>
          <t>Tanzanie</t>
        </is>
      </c>
      <c r="B181" s="3" t="inlineStr">
        <is>
          <t>Afrique</t>
        </is>
      </c>
      <c r="C181" s="8" t="inlineStr">
        <is>
          <t>D</t>
        </is>
      </c>
      <c r="D181" s="3" t="inlineStr">
        <is>
          <t>très faible (moins de 50 votes)</t>
        </is>
      </c>
      <c r="E181" s="3" t="inlineStr">
        <is>
          <t>Jonah</t>
        </is>
      </c>
      <c r="F181" s="3" t="inlineStr">
        <is>
          <t>Jonah</t>
        </is>
      </c>
      <c r="G181" s="3" t="inlineStr">
        <is>
          <t>2013</t>
        </is>
      </c>
      <c r="H181" s="3" t="inlineStr">
        <is>
          <t>en</t>
        </is>
      </c>
      <c r="I181" s="3" t="inlineStr"/>
      <c r="J181" s="3" t="n">
        <v>17</v>
      </c>
      <c r="K181" s="5" t="inlineStr">
        <is>
          <t>popularité TMDB : 21 votes</t>
        </is>
      </c>
      <c r="L181" s="5" t="inlineStr"/>
      <c r="M181" s="6" t="inlineStr">
        <is>
          <t>https://www.themoviedb.org/movie/164233</t>
        </is>
      </c>
      <c r="N181" s="6" t="inlineStr">
        <is>
          <t>https://www.themoviedb.org/movie/164233</t>
        </is>
      </c>
      <c r="O181" s="5" t="inlineStr"/>
      <c r="P181" s="5" t="inlineStr">
        <is>
          <t>Jonah (2013, 21 votes)</t>
        </is>
      </c>
      <c r="Q181" s="5" t="inlineStr">
        <is>
          <t>These Hands (1992)</t>
        </is>
      </c>
      <c r="R181" s="5" t="inlineStr"/>
      <c r="S181" s="5" t="inlineStr">
        <is>
          <t>pas de box-office national suivi ou publié trouvé</t>
        </is>
      </c>
    </row>
    <row r="182">
      <c r="A182" s="3" t="inlineStr">
        <is>
          <t>Tchad</t>
        </is>
      </c>
      <c r="B182" s="3" t="inlineStr">
        <is>
          <t>Afrique</t>
        </is>
      </c>
      <c r="C182" s="9" t="inlineStr">
        <is>
          <t>C</t>
        </is>
      </c>
      <c r="D182" s="3" t="inlineStr">
        <is>
          <t>faible (choix éditorial, pas d'audience)</t>
        </is>
      </c>
      <c r="E182" s="3" t="inlineStr">
        <is>
          <t>Bye Bye Africa</t>
        </is>
      </c>
      <c r="F182" s="3" t="inlineStr">
        <is>
          <t>Bye Bye Africa</t>
        </is>
      </c>
      <c r="G182" s="3" t="inlineStr">
        <is>
          <t>1999</t>
        </is>
      </c>
      <c r="H182" s="3" t="inlineStr"/>
      <c r="I182" s="3" t="inlineStr"/>
      <c r="J182" s="3" t="n">
        <v>87</v>
      </c>
      <c r="K182" s="5" t="inlineStr">
        <is>
          <t>choix « native » de Films Around the World</t>
        </is>
      </c>
      <c r="L182" s="5" t="inlineStr"/>
      <c r="M182" s="6" t="inlineStr">
        <is>
          <t>https://filmsaroundthe.world/country/chad/films/bye-bye-africa-fb34bc995d48acfbe/</t>
        </is>
      </c>
      <c r="N182" s="6" t="inlineStr">
        <is>
          <t>https://www.themoviedb.org/movie/276186</t>
        </is>
      </c>
      <c r="O182" s="5" t="inlineStr"/>
      <c r="P182" s="5" t="inlineStr">
        <is>
          <t>Lingui : les liens sacrés (2021, 44 votes)</t>
        </is>
      </c>
      <c r="Q182" s="5" t="inlineStr">
        <is>
          <t>Bye Bye Africa (1999)</t>
        </is>
      </c>
      <c r="R182" s="5" t="inlineStr"/>
      <c r="S182" s="5" t="inlineStr">
        <is>
          <t>Fiche TMDB retrouvée à la main (TMDB date le film de sa sortie française, 2003). pas de box-office national suivi ou publié trouvé</t>
        </is>
      </c>
    </row>
    <row r="183">
      <c r="A183" s="3" t="inlineStr">
        <is>
          <t>Tchéquie</t>
        </is>
      </c>
      <c r="B183" s="3" t="inlineStr">
        <is>
          <t>Europe</t>
        </is>
      </c>
      <c r="C183" s="7" t="inlineStr">
        <is>
          <t>A</t>
        </is>
      </c>
      <c r="D183" s="3" t="inlineStr">
        <is>
          <t>forte</t>
        </is>
      </c>
      <c r="E183" s="3" t="inlineStr">
        <is>
          <t>Pyšná princezna</t>
        </is>
      </c>
      <c r="F183" s="3" t="inlineStr">
        <is>
          <t>La Princesse orgueilleuse</t>
        </is>
      </c>
      <c r="G183" s="3" t="inlineStr">
        <is>
          <t>1952</t>
        </is>
      </c>
      <c r="H183" s="3" t="inlineStr">
        <is>
          <t>cs</t>
        </is>
      </c>
      <c r="I183" s="3" t="inlineStr"/>
      <c r="J183" s="3" t="n">
        <v>94</v>
      </c>
      <c r="K183" s="5" t="inlineStr">
        <is>
          <t>entrées : 8233010</t>
        </is>
      </c>
      <c r="L183" s="5" t="inlineStr"/>
      <c r="M183" s="6" t="inlineStr">
        <is>
          <t>https://cs.wikipedia.org/wiki/Seznam_nejnav%C5%A1t%C4%9Bvovan%C4%9Bj%C5%A1%C3%ADch_%C4%8Desk%C3%BDch_film%C5%AF</t>
        </is>
      </c>
      <c r="N183" s="6" t="inlineStr">
        <is>
          <t>https://www.themoviedb.org/movie/41228</t>
        </is>
      </c>
      <c r="O183" s="5" t="inlineStr">
        <is>
          <t>Byl jednou jeden král… (1955), 5915296</t>
        </is>
      </c>
      <c r="P183" s="5" t="inlineStr">
        <is>
          <t>Kolja (1996, 224 votes)</t>
        </is>
      </c>
      <c r="Q183" s="5" t="inlineStr">
        <is>
          <t>Kolya (1996)</t>
        </is>
      </c>
      <c r="R183" s="5" t="inlineStr"/>
      <c r="S183" s="5" t="inlineStr">
        <is>
          <t>Entrées sur le territoire actuel, période tchécoslovaque. Après 1993 : Ženy v běhu (2019), 1543842.</t>
        </is>
      </c>
    </row>
    <row r="184">
      <c r="A184" s="3" t="inlineStr">
        <is>
          <t>Thaïlande</t>
        </is>
      </c>
      <c r="B184" s="3" t="inlineStr">
        <is>
          <t>Asie</t>
        </is>
      </c>
      <c r="C184" s="7" t="inlineStr">
        <is>
          <t>A</t>
        </is>
      </c>
      <c r="D184" s="3" t="inlineStr">
        <is>
          <t>bonne</t>
        </is>
      </c>
      <c r="E184" s="3" t="inlineStr">
        <is>
          <t>พี่มาก..พระโขนง</t>
        </is>
      </c>
      <c r="F184" s="3" t="inlineStr">
        <is>
          <t>Pee Mak</t>
        </is>
      </c>
      <c r="G184" s="3" t="inlineStr">
        <is>
          <t>2013</t>
        </is>
      </c>
      <c r="H184" s="3" t="inlineStr">
        <is>
          <t>th</t>
        </is>
      </c>
      <c r="I184" s="3" t="inlineStr"/>
      <c r="J184" s="3" t="n">
        <v>112</v>
      </c>
      <c r="K184" s="5" t="inlineStr">
        <is>
          <t>recettes nationales : ฿568.55M</t>
        </is>
      </c>
      <c r="L184" s="5" t="inlineStr"/>
      <c r="M184" s="6" t="inlineStr">
        <is>
          <t>https://en.wikipedia.org/wiki/List_of_highest-grossing_films_in_Thailand</t>
        </is>
      </c>
      <c r="N184" s="6" t="inlineStr">
        <is>
          <t>https://www.themoviedb.org/movie/184219</t>
        </is>
      </c>
      <c r="O184" s="5" t="inlineStr">
        <is>
          <t>I Fine..Thank You..Love You (2014, ฿330.55M)</t>
        </is>
      </c>
      <c r="P184" s="5" t="inlineStr">
        <is>
          <t>องค์บาก (2003, 1982 votes)</t>
        </is>
      </c>
      <c r="Q184" s="5" t="inlineStr">
        <is>
          <t>Ong-Bak (2003)</t>
        </is>
      </c>
      <c r="R184" s="5" t="inlineStr"/>
      <c r="S184" s="5" t="inlineStr"/>
    </row>
    <row r="185">
      <c r="A185" s="3" t="inlineStr">
        <is>
          <t>Timor oriental</t>
        </is>
      </c>
      <c r="B185" s="3" t="inlineStr">
        <is>
          <t>Asie</t>
        </is>
      </c>
      <c r="C185" s="9" t="inlineStr">
        <is>
          <t>C</t>
        </is>
      </c>
      <c r="D185" s="3" t="inlineStr">
        <is>
          <t>faible (choix éditorial, pas d'audience)</t>
        </is>
      </c>
      <c r="E185" s="3" t="inlineStr">
        <is>
          <t>A Guerra da Beatriz</t>
        </is>
      </c>
      <c r="F185" s="3" t="inlineStr">
        <is>
          <t>A Guerra da Beatriz</t>
        </is>
      </c>
      <c r="G185" s="3" t="inlineStr">
        <is>
          <t>2013</t>
        </is>
      </c>
      <c r="H185" s="3" t="inlineStr">
        <is>
          <t>id</t>
        </is>
      </c>
      <c r="I185" s="3" t="inlineStr"/>
      <c r="J185" s="3" t="n">
        <v>101</v>
      </c>
      <c r="K185" s="5" t="inlineStr">
        <is>
          <t>choix « native » de Films Around the World</t>
        </is>
      </c>
      <c r="L185" s="5" t="inlineStr"/>
      <c r="M185" s="6" t="inlineStr">
        <is>
          <t>https://filmsaroundthe.world/country/east-timor/films/beatriz-s-war-fb1c1aa7b9ce8fd0c/</t>
        </is>
      </c>
      <c r="N185" s="6" t="inlineStr">
        <is>
          <t>https://www.themoviedb.org/movie/275008</t>
        </is>
      </c>
      <c r="O185" s="5" t="inlineStr"/>
      <c r="P185" s="5" t="inlineStr">
        <is>
          <t>Silent Drop (, 0 votes)</t>
        </is>
      </c>
      <c r="Q185" s="5" t="inlineStr">
        <is>
          <t>Beatriz's War (2013)</t>
        </is>
      </c>
      <c r="R185" s="5" t="inlineStr"/>
      <c r="S185" s="5" t="inlineStr">
        <is>
          <t>No sourced box office data.</t>
        </is>
      </c>
    </row>
    <row r="186">
      <c r="A186" s="3" t="inlineStr">
        <is>
          <t>Togo</t>
        </is>
      </c>
      <c r="B186" s="3" t="inlineStr">
        <is>
          <t>Afrique</t>
        </is>
      </c>
      <c r="C186" s="9" t="inlineStr">
        <is>
          <t>C</t>
        </is>
      </c>
      <c r="D186" s="3" t="inlineStr">
        <is>
          <t>faible (choix éditorial, pas d'audience)</t>
        </is>
      </c>
      <c r="E186" s="3" t="inlineStr">
        <is>
          <t>Le coup de grâce</t>
        </is>
      </c>
      <c r="F186" s="3" t="inlineStr">
        <is>
          <t>Le coup de grâce</t>
        </is>
      </c>
      <c r="G186" s="3" t="inlineStr">
        <is>
          <t>2022</t>
        </is>
      </c>
      <c r="H186" s="3" t="inlineStr">
        <is>
          <t>fr</t>
        </is>
      </c>
      <c r="I186" s="3" t="inlineStr"/>
      <c r="J186" s="3" t="n">
        <v>105</v>
      </c>
      <c r="K186" s="5" t="inlineStr">
        <is>
          <t>choix « native » de Films Around the World</t>
        </is>
      </c>
      <c r="L186" s="5" t="inlineStr"/>
      <c r="M186" s="6" t="inlineStr">
        <is>
          <t>https://filmsaroundthe.world/country/togo/films/le-coup-de-grace-fc63bbe54e7798945/</t>
        </is>
      </c>
      <c r="N186" s="6" t="inlineStr">
        <is>
          <t>https://www.themoviedb.org/movie/1086356</t>
        </is>
      </c>
      <c r="O186" s="5" t="inlineStr"/>
      <c r="P186" s="5" t="inlineStr">
        <is>
          <t>Mikoko (2025, 2 votes)</t>
        </is>
      </c>
      <c r="Q186" s="5" t="inlineStr">
        <is>
          <t>Le coup de grâce (2022)</t>
        </is>
      </c>
      <c r="R186" s="5" t="inlineStr"/>
      <c r="S186" s="5" t="inlineStr">
        <is>
          <t>pas de box-office national suivi ou publié trouvé</t>
        </is>
      </c>
    </row>
    <row r="187">
      <c r="A187" s="3" t="inlineStr">
        <is>
          <t>Tonga</t>
        </is>
      </c>
      <c r="B187" s="3" t="inlineStr">
        <is>
          <t>Océanie</t>
        </is>
      </c>
      <c r="C187" s="8" t="inlineStr">
        <is>
          <t>D</t>
        </is>
      </c>
      <c r="D187" s="3" t="inlineStr">
        <is>
          <t>très faible (moins de 50 votes)</t>
        </is>
      </c>
      <c r="E187" s="3" t="inlineStr">
        <is>
          <t>Birthright</t>
        </is>
      </c>
      <c r="F187" s="3" t="inlineStr">
        <is>
          <t>Birthright</t>
        </is>
      </c>
      <c r="G187" s="3" t="inlineStr">
        <is>
          <t>2019</t>
        </is>
      </c>
      <c r="H187" s="3" t="inlineStr">
        <is>
          <t>en</t>
        </is>
      </c>
      <c r="I187" s="3" t="inlineStr"/>
      <c r="J187" s="3" t="n">
        <v>15</v>
      </c>
      <c r="K187" s="5" t="inlineStr">
        <is>
          <t>popularité TMDB : 0 votes</t>
        </is>
      </c>
      <c r="L187" s="5" t="inlineStr"/>
      <c r="M187" s="6" t="inlineStr">
        <is>
          <t>https://www.themoviedb.org/movie/798772</t>
        </is>
      </c>
      <c r="N187" s="6" t="inlineStr">
        <is>
          <t>https://www.themoviedb.org/movie/798772</t>
        </is>
      </c>
      <c r="O187" s="5" t="inlineStr"/>
      <c r="P187" s="5" t="inlineStr">
        <is>
          <t>Birthright (2019, 0 votes)</t>
        </is>
      </c>
      <c r="Q187" s="5" t="inlineStr"/>
      <c r="R187" s="5" t="inlineStr"/>
      <c r="S187" s="5" t="inlineStr">
        <is>
          <t>No sourced box office data.</t>
        </is>
      </c>
    </row>
    <row r="188">
      <c r="A188" s="3" t="inlineStr">
        <is>
          <t>Trinité-et-Tobago</t>
        </is>
      </c>
      <c r="B188" s="3" t="inlineStr">
        <is>
          <t>Amériques</t>
        </is>
      </c>
      <c r="C188" s="9" t="inlineStr">
        <is>
          <t>C</t>
        </is>
      </c>
      <c r="D188" s="3" t="inlineStr">
        <is>
          <t>faible (choix éditorial, pas d'audience)</t>
        </is>
      </c>
      <c r="E188" s="3" t="inlineStr">
        <is>
          <t>God Loves the Fighter</t>
        </is>
      </c>
      <c r="F188" s="3" t="inlineStr">
        <is>
          <t>God Loves the Fighter</t>
        </is>
      </c>
      <c r="G188" s="3" t="inlineStr">
        <is>
          <t>2014</t>
        </is>
      </c>
      <c r="H188" s="3" t="inlineStr">
        <is>
          <t>en</t>
        </is>
      </c>
      <c r="I188" s="3" t="inlineStr"/>
      <c r="J188" s="3" t="n">
        <v>104</v>
      </c>
      <c r="K188" s="5" t="inlineStr">
        <is>
          <t>choix « native » de Films Around the World</t>
        </is>
      </c>
      <c r="L188" s="5" t="inlineStr"/>
      <c r="M188" s="6" t="inlineStr">
        <is>
          <t>https://filmsaroundthe.world/country/trinidad-and-tobago/films/god-loves-the-fighter-f665c27028fc8a3c0/</t>
        </is>
      </c>
      <c r="N188" s="6" t="inlineStr">
        <is>
          <t>https://www.themoviedb.org/movie/307631</t>
        </is>
      </c>
      <c r="O188" s="5" t="inlineStr"/>
      <c r="P188" s="5" t="inlineStr">
        <is>
          <t>Green Days by the River (2017, 7 votes)</t>
        </is>
      </c>
      <c r="Q188" s="5" t="inlineStr">
        <is>
          <t>God Loves the Fighter (2014)</t>
        </is>
      </c>
      <c r="R188" s="5" t="inlineStr"/>
      <c r="S188" s="5" t="inlineStr">
        <is>
          <t>Sistagod (2006) décrit comme le film local le plus réussi, sans chiffre. / Aucune donnée sourcée trouvée dans cette passe</t>
        </is>
      </c>
    </row>
    <row r="189">
      <c r="A189" s="3" t="inlineStr">
        <is>
          <t>Tunisie</t>
        </is>
      </c>
      <c r="B189" s="3" t="inlineStr">
        <is>
          <t>Afrique</t>
        </is>
      </c>
      <c r="C189" s="4" t="inlineStr">
        <is>
          <t>B</t>
        </is>
      </c>
      <c r="D189" s="3" t="inlineStr">
        <is>
          <t>moyenne</t>
        </is>
      </c>
      <c r="E189" s="3" t="inlineStr">
        <is>
          <t>صوت هند رجب</t>
        </is>
      </c>
      <c r="F189" s="3" t="inlineStr">
        <is>
          <t>La Voix de Hind Rajab</t>
        </is>
      </c>
      <c r="G189" s="3" t="inlineStr">
        <is>
          <t>2025</t>
        </is>
      </c>
      <c r="H189" s="3" t="inlineStr">
        <is>
          <t>ar</t>
        </is>
      </c>
      <c r="I189" s="3" t="inlineStr"/>
      <c r="J189" s="3" t="n">
        <v>89</v>
      </c>
      <c r="K189" s="5" t="inlineStr">
        <is>
          <t>popularité TMDB : 385 votes</t>
        </is>
      </c>
      <c r="L189" s="5" t="inlineStr">
        <is>
          <t>abonnement : Canal+ ; location : Apple TV Store, Rakuten TV, Canal VOD, Sooner ; achat : Apple TV Store, Rakuten TV, Canal VOD, Sooner</t>
        </is>
      </c>
      <c r="M189" s="6" t="inlineStr">
        <is>
          <t>https://www.themoviedb.org/movie/1480382</t>
        </is>
      </c>
      <c r="N189" s="6" t="inlineStr">
        <is>
          <t>https://www.themoviedb.org/movie/1480382</t>
        </is>
      </c>
      <c r="O189" s="5" t="inlineStr"/>
      <c r="P189" s="5" t="inlineStr">
        <is>
          <t>صوت هند رجب (2025, 385 votes)</t>
        </is>
      </c>
      <c r="Q189" s="5" t="inlineStr">
        <is>
          <t>The Silences of the Palace (1994)</t>
        </is>
      </c>
      <c r="R189" s="5" t="inlineStr"/>
      <c r="S189" s="5" t="inlineStr">
        <is>
          <t>Pas de classement officiel. Meilleur candidat : Dachra (2018, Abdelhamid Bouchnak), ~200 000 entrées en un mois selon ilboursa.com, présenté comme record des 20 dernières années, pas de tous les temps. Concurrent : Halfaouine (1990), « possiblement le plus gros succès de l'histoire du cinéma tunisien » (Wikipedia EN, sans chiffre). Non tranché. / Pas de classement sourcé. Candidat : Les Silences du palais (1994) &gt;300 000 entrées selon BFI ; Halfaouine (1990) cité comme plus grand succès tunisien (Wikipedia).</t>
        </is>
      </c>
    </row>
    <row r="190">
      <c r="A190" s="3" t="inlineStr">
        <is>
          <t>Turkménistan</t>
        </is>
      </c>
      <c r="B190" s="3" t="inlineStr">
        <is>
          <t>Asie</t>
        </is>
      </c>
      <c r="C190" s="9" t="inlineStr">
        <is>
          <t>C</t>
        </is>
      </c>
      <c r="D190" s="3" t="inlineStr">
        <is>
          <t>faible (choix éditorial, pas d'audience)</t>
        </is>
      </c>
      <c r="E190" s="3" t="inlineStr">
        <is>
          <t>Невестка</t>
        </is>
      </c>
      <c r="F190" s="3" t="inlineStr">
        <is>
          <t>Невестка</t>
        </is>
      </c>
      <c r="G190" s="3" t="inlineStr">
        <is>
          <t>1972</t>
        </is>
      </c>
      <c r="H190" s="3" t="inlineStr">
        <is>
          <t>tk</t>
        </is>
      </c>
      <c r="I190" s="3" t="inlineStr"/>
      <c r="J190" s="3" t="n">
        <v>81</v>
      </c>
      <c r="K190" s="5" t="inlineStr">
        <is>
          <t>choix « native » de Films Around the World</t>
        </is>
      </c>
      <c r="L190" s="5" t="inlineStr"/>
      <c r="M190" s="6" t="inlineStr">
        <is>
          <t>https://filmsaroundthe.world/country/turkmenistan/films/the-daughter-in-law-f74630997f93ef780/</t>
        </is>
      </c>
      <c r="N190" s="6" t="inlineStr">
        <is>
          <t>https://www.themoviedb.org/movie/108526</t>
        </is>
      </c>
      <c r="O190" s="5" t="inlineStr"/>
      <c r="P190" s="5" t="inlineStr">
        <is>
          <t>Ангелочек, сделай радость (1993, 10 votes)</t>
        </is>
      </c>
      <c r="Q190" s="5" t="inlineStr">
        <is>
          <t>The Daughter-in-Law (1972)</t>
        </is>
      </c>
      <c r="R190" s="5" t="inlineStr"/>
      <c r="S190" s="5" t="inlineStr">
        <is>
          <t>No sourced box office data.</t>
        </is>
      </c>
    </row>
    <row r="191">
      <c r="A191" s="3" t="inlineStr">
        <is>
          <t>Turquie</t>
        </is>
      </c>
      <c r="B191" s="3" t="inlineStr">
        <is>
          <t>Moyen-Orient</t>
        </is>
      </c>
      <c r="C191" s="7" t="inlineStr">
        <is>
          <t>A</t>
        </is>
      </c>
      <c r="D191" s="3" t="inlineStr">
        <is>
          <t>forte</t>
        </is>
      </c>
      <c r="E191" s="3" t="inlineStr">
        <is>
          <t>Recep İvedik 5</t>
        </is>
      </c>
      <c r="F191" s="3" t="inlineStr">
        <is>
          <t>Recep İvedik 5</t>
        </is>
      </c>
      <c r="G191" s="3" t="inlineStr">
        <is>
          <t>2017</t>
        </is>
      </c>
      <c r="H191" s="3" t="inlineStr">
        <is>
          <t>tr</t>
        </is>
      </c>
      <c r="I191" s="3" t="inlineStr"/>
      <c r="J191" s="3" t="n">
        <v>114</v>
      </c>
      <c r="K191" s="5" t="inlineStr">
        <is>
          <t>entrées : 7437050</t>
        </is>
      </c>
      <c r="L191" s="5" t="inlineStr">
        <is>
          <t>achat : Apple TV Store</t>
        </is>
      </c>
      <c r="M191" s="6" t="inlineStr">
        <is>
          <t>https://tr.wikipedia.org/wiki/En_çok_izlenen_Türk_yapımı_100_film</t>
        </is>
      </c>
      <c r="N191" s="6" t="inlineStr">
        <is>
          <t>https://www.themoviedb.org/movie/438703</t>
        </is>
      </c>
      <c r="O191" s="5" t="inlineStr">
        <is>
          <t>Recep İvedik 4 (2014), 7374931</t>
        </is>
      </c>
      <c r="P191" s="5" t="inlineStr">
        <is>
          <t>7. Koğuştaki Mucize (2019, 4610 votes)</t>
        </is>
      </c>
      <c r="Q191" s="5" t="inlineStr">
        <is>
          <t>Mustang (2015)</t>
        </is>
      </c>
      <c r="R191" s="5" t="inlineStr"/>
      <c r="S191" s="5" t="inlineStr"/>
    </row>
    <row r="192">
      <c r="A192" s="3" t="inlineStr">
        <is>
          <t>Tuvalu</t>
        </is>
      </c>
      <c r="B192" s="3" t="inlineStr">
        <is>
          <t>Océanie</t>
        </is>
      </c>
      <c r="C192" s="8" t="inlineStr">
        <is>
          <t>D</t>
        </is>
      </c>
      <c r="D192" s="3" t="inlineStr">
        <is>
          <t>très faible (moins de 50 votes)</t>
        </is>
      </c>
      <c r="E192" s="3" t="inlineStr">
        <is>
          <t>Warrior Cock</t>
        </is>
      </c>
      <c r="F192" s="3" t="inlineStr">
        <is>
          <t>Warrior Cock</t>
        </is>
      </c>
      <c r="G192" s="3" t="inlineStr">
        <is>
          <t>2011</t>
        </is>
      </c>
      <c r="H192" s="3" t="inlineStr">
        <is>
          <t>en</t>
        </is>
      </c>
      <c r="I192" s="3" t="inlineStr">
        <is>
          <t>oui</t>
        </is>
      </c>
      <c r="J192" s="3" t="n">
        <v>3</v>
      </c>
      <c r="K192" s="5" t="inlineStr">
        <is>
          <t>popularité TMDB : 0 votes</t>
        </is>
      </c>
      <c r="L192" s="5" t="inlineStr"/>
      <c r="M192" s="6" t="inlineStr">
        <is>
          <t>https://www.themoviedb.org/movie/287423</t>
        </is>
      </c>
      <c r="N192" s="6" t="inlineStr">
        <is>
          <t>https://www.themoviedb.org/movie/287423</t>
        </is>
      </c>
      <c r="O192" s="5" t="inlineStr"/>
      <c r="P192" s="5" t="inlineStr">
        <is>
          <t>Warrior Cock (2011, 0 votes)</t>
        </is>
      </c>
      <c r="Q192" s="5" t="inlineStr"/>
      <c r="R192" s="5" t="inlineStr"/>
      <c r="S192" s="5" t="inlineStr">
        <is>
          <t>No sourced box office data.</t>
        </is>
      </c>
    </row>
    <row r="193">
      <c r="A193" s="3" t="inlineStr">
        <is>
          <t>Ukraine</t>
        </is>
      </c>
      <c r="B193" s="3" t="inlineStr">
        <is>
          <t>Europe</t>
        </is>
      </c>
      <c r="C193" s="7" t="inlineStr">
        <is>
          <t>A</t>
        </is>
      </c>
      <c r="D193" s="3" t="inlineStr">
        <is>
          <t>forte</t>
        </is>
      </c>
      <c r="E193" s="3" t="inlineStr">
        <is>
          <t>Скажене весілля</t>
        </is>
      </c>
      <c r="F193" s="3" t="inlineStr">
        <is>
          <t>Скажене весілля</t>
        </is>
      </c>
      <c r="G193" s="3" t="inlineStr">
        <is>
          <t>2018</t>
        </is>
      </c>
      <c r="H193" s="3" t="inlineStr">
        <is>
          <t>uk</t>
        </is>
      </c>
      <c r="I193" s="3" t="inlineStr"/>
      <c r="J193" s="3" t="n">
        <v>90</v>
      </c>
      <c r="K193" s="5" t="inlineStr">
        <is>
          <t>entrées : 657672</t>
        </is>
      </c>
      <c r="L193" s="5" t="inlineStr"/>
      <c r="M193" s="6" t="inlineStr">
        <is>
          <t>https://en.wikipedia.org/wiki/Crazy_Wedding</t>
        </is>
      </c>
      <c r="N193" s="6" t="inlineStr">
        <is>
          <t>https://www.themoviedb.org/movie/552441</t>
        </is>
      </c>
      <c r="O193" s="5" t="inlineStr">
        <is>
          <t>Скажене весілля 2 (2019), 444262</t>
        </is>
      </c>
      <c r="P193" s="5" t="inlineStr">
        <is>
          <t>Снайпер. Білий ворон (2022, 960 votes)</t>
        </is>
      </c>
      <c r="Q193" s="5" t="inlineStr">
        <is>
          <t>Shadows of Forgotten Ancestors (1965)</t>
        </is>
      </c>
      <c r="R193" s="5" t="inlineStr"/>
      <c r="S193" s="5" t="inlineStr">
        <is>
          <t>Post-indépendance.</t>
        </is>
      </c>
    </row>
    <row r="194">
      <c r="A194" s="3" t="inlineStr">
        <is>
          <t>Uruguay</t>
        </is>
      </c>
      <c r="B194" s="3" t="inlineStr">
        <is>
          <t>Amériques</t>
        </is>
      </c>
      <c r="C194" s="7" t="inlineStr">
        <is>
          <t>A</t>
        </is>
      </c>
      <c r="D194" s="3" t="inlineStr">
        <is>
          <t>forte</t>
        </is>
      </c>
      <c r="E194" s="3" t="inlineStr">
        <is>
          <t>En la puta vida</t>
        </is>
      </c>
      <c r="F194" s="3" t="inlineStr">
        <is>
          <t>Putain de vie</t>
        </is>
      </c>
      <c r="G194" s="3" t="inlineStr">
        <is>
          <t>2001</t>
        </is>
      </c>
      <c r="H194" s="3" t="inlineStr">
        <is>
          <t>es</t>
        </is>
      </c>
      <c r="I194" s="3" t="inlineStr"/>
      <c r="J194" s="3" t="n">
        <v>100</v>
      </c>
      <c r="K194" s="5" t="inlineStr">
        <is>
          <t>entrées : environ 145 000</t>
        </is>
      </c>
      <c r="L194" s="5" t="inlineStr"/>
      <c r="M194" s="6" t="inlineStr">
        <is>
          <t>https://www.subrayado.com.uy/uruguay-el-cine-estas-son-las-peliculas-mas-vistas-la-historia-n1016292</t>
        </is>
      </c>
      <c r="N194" s="6" t="inlineStr">
        <is>
          <t>https://www.themoviedb.org/movie/61072</t>
        </is>
      </c>
      <c r="O194" s="5" t="inlineStr">
        <is>
          <t>El baño del Papa (2007), environ 68 000</t>
        </is>
      </c>
      <c r="P194" s="5" t="inlineStr">
        <is>
          <t>Togo (2022, 72 votes)</t>
        </is>
      </c>
      <c r="Q194" s="5" t="inlineStr">
        <is>
          <t>A Twelve-Year Night (2018)</t>
        </is>
      </c>
      <c r="R194" s="5" t="inlineStr"/>
      <c r="S194" s="5" t="inlineStr">
        <is>
          <t>Fourchette 140-150 000 selon les sources (étude Udelar/ICAU/MEC). Le muet de 1933 El pequeño héroe del Arroyo del Oro est estimé à ~150 000 cumulés sur 20 ans, non comparable.</t>
        </is>
      </c>
    </row>
    <row r="195">
      <c r="A195" s="3" t="inlineStr">
        <is>
          <t>Vanuatu</t>
        </is>
      </c>
      <c r="B195" s="3" t="inlineStr">
        <is>
          <t>Océanie</t>
        </is>
      </c>
      <c r="C195" s="8" t="inlineStr">
        <is>
          <t>D</t>
        </is>
      </c>
      <c r="D195" s="3" t="inlineStr">
        <is>
          <t>très faible (moins de 50 votes)</t>
        </is>
      </c>
      <c r="E195" s="3" t="inlineStr">
        <is>
          <t>Kasis Road</t>
        </is>
      </c>
      <c r="F195" s="3" t="inlineStr">
        <is>
          <t>Kasis Road</t>
        </is>
      </c>
      <c r="G195" s="3" t="inlineStr">
        <is>
          <t>1997</t>
        </is>
      </c>
      <c r="H195" s="3" t="inlineStr">
        <is>
          <t>en</t>
        </is>
      </c>
      <c r="I195" s="3" t="inlineStr"/>
      <c r="J195" s="3" t="n">
        <v>83</v>
      </c>
      <c r="K195" s="5" t="inlineStr">
        <is>
          <t>popularité TMDB : 0 votes</t>
        </is>
      </c>
      <c r="L195" s="5" t="inlineStr"/>
      <c r="M195" s="6" t="inlineStr">
        <is>
          <t>https://www.themoviedb.org/movie/933949</t>
        </is>
      </c>
      <c r="N195" s="6" t="inlineStr">
        <is>
          <t>https://www.themoviedb.org/movie/933949</t>
        </is>
      </c>
      <c r="O195" s="5" t="inlineStr"/>
      <c r="P195" s="5" t="inlineStr">
        <is>
          <t>Kasis Road (1997, 0 votes)</t>
        </is>
      </c>
      <c r="Q195" s="5" t="inlineStr"/>
      <c r="R195" s="5" t="inlineStr"/>
      <c r="S195" s="5" t="inlineStr">
        <is>
          <t>No sourced box office data.</t>
        </is>
      </c>
    </row>
    <row r="196">
      <c r="A196" s="3" t="inlineStr">
        <is>
          <t>Venezuela</t>
        </is>
      </c>
      <c r="B196" s="3" t="inlineStr">
        <is>
          <t>Amériques</t>
        </is>
      </c>
      <c r="C196" s="7" t="inlineStr">
        <is>
          <t>A</t>
        </is>
      </c>
      <c r="D196" s="3" t="inlineStr">
        <is>
          <t>forte</t>
        </is>
      </c>
      <c r="E196" s="3" t="inlineStr">
        <is>
          <t>Papita, maní, tostón</t>
        </is>
      </c>
      <c r="F196" s="3" t="inlineStr">
        <is>
          <t>Papita, maní, tostón</t>
        </is>
      </c>
      <c r="G196" s="3" t="inlineStr">
        <is>
          <t>2013</t>
        </is>
      </c>
      <c r="H196" s="3" t="inlineStr">
        <is>
          <t>es</t>
        </is>
      </c>
      <c r="I196" s="3" t="inlineStr"/>
      <c r="J196" s="3" t="n">
        <v>112</v>
      </c>
      <c r="K196" s="5" t="inlineStr">
        <is>
          <t>entrées : 1 900 000</t>
        </is>
      </c>
      <c r="L196" s="5" t="inlineStr">
        <is>
          <t>gratuit : Filmtap ; gratuit pub : Plex, Plex Channel, Filmzie ; location : MovieMe</t>
        </is>
      </c>
      <c r="M196" s="6" t="inlineStr">
        <is>
          <t>https://es.wikipedia.org/wiki/Cine_de_Venezuela</t>
        </is>
      </c>
      <c r="N196" s="6" t="inlineStr">
        <is>
          <t>https://www.themoviedb.org/movie/248424</t>
        </is>
      </c>
      <c r="O196" s="5" t="inlineStr">
        <is>
          <t>Homicidio culposo (1983), 1 300 000</t>
        </is>
      </c>
      <c r="P196" s="5" t="inlineStr">
        <is>
          <t>La casa del fin de los tiempos (2013, 348 votes)</t>
        </is>
      </c>
      <c r="Q196" s="5" t="inlineStr">
        <is>
          <t>The Liberator (2013)</t>
        </is>
      </c>
      <c r="R196" s="5" t="inlineStr"/>
      <c r="S196" s="5" t="inlineStr">
        <is>
          <t>AMBIGU. El Exorcismo de Dios (2022) est cité à 2,1 M mais en entrées internationales, pas domestiques, donc écarté. Chiffres arrondis, source Wikipedia seule.</t>
        </is>
      </c>
    </row>
    <row r="197">
      <c r="A197" s="3" t="inlineStr">
        <is>
          <t>Viêt Nam</t>
        </is>
      </c>
      <c r="B197" s="3" t="inlineStr">
        <is>
          <t>Asie</t>
        </is>
      </c>
      <c r="C197" s="7" t="inlineStr">
        <is>
          <t>A</t>
        </is>
      </c>
      <c r="D197" s="3" t="inlineStr">
        <is>
          <t>forte</t>
        </is>
      </c>
      <c r="E197" s="3" t="inlineStr">
        <is>
          <t>Mưa đỏ</t>
        </is>
      </c>
      <c r="F197" s="3" t="inlineStr">
        <is>
          <t>Mưa đỏ</t>
        </is>
      </c>
      <c r="G197" s="3" t="inlineStr">
        <is>
          <t>2025</t>
        </is>
      </c>
      <c r="H197" s="3" t="inlineStr">
        <is>
          <t>vi</t>
        </is>
      </c>
      <c r="I197" s="3" t="inlineStr"/>
      <c r="J197" s="3" t="n">
        <v>124</v>
      </c>
      <c r="K197" s="5" t="inlineStr">
        <is>
          <t>entrées : 8.88M (₫714bn)</t>
        </is>
      </c>
      <c r="L197" s="5" t="inlineStr"/>
      <c r="M197" s="6" t="inlineStr">
        <is>
          <t>https://en.wikipedia.org/wiki/List_of_highest-grossing_films_in_Vietnam</t>
        </is>
      </c>
      <c r="N197" s="6" t="inlineStr">
        <is>
          <t>https://www.themoviedb.org/movie/1468704</t>
        </is>
      </c>
      <c r="O197" s="5" t="inlineStr">
        <is>
          <t>Mai (2024, 6.90M)</t>
        </is>
      </c>
      <c r="P197" s="5" t="inlineStr">
        <is>
          <t>Hai Phượng (2019, 223 votes)</t>
        </is>
      </c>
      <c r="Q197" s="5" t="inlineStr">
        <is>
          <t>The Scent of Green Papaya (1993)</t>
        </is>
      </c>
      <c r="R197" s="5" t="inlineStr"/>
      <c r="S197" s="5" t="inlineStr"/>
    </row>
    <row r="198">
      <c r="A198" s="3" t="inlineStr">
        <is>
          <t>Yémen</t>
        </is>
      </c>
      <c r="B198" s="3" t="inlineStr">
        <is>
          <t>Moyen-Orient</t>
        </is>
      </c>
      <c r="C198" s="9" t="inlineStr">
        <is>
          <t>C</t>
        </is>
      </c>
      <c r="D198" s="3" t="inlineStr">
        <is>
          <t>faible (choix éditorial, pas d'audience)</t>
        </is>
      </c>
      <c r="E198" s="3" t="inlineStr">
        <is>
          <t>I'm Nojoum, Age 10 and Divorced</t>
        </is>
      </c>
      <c r="F198" s="3" t="inlineStr">
        <is>
          <t>Moi Nojoom, 10ans et divorcée</t>
        </is>
      </c>
      <c r="G198" s="3" t="inlineStr">
        <is>
          <t>2014</t>
        </is>
      </c>
      <c r="H198" s="3" t="inlineStr"/>
      <c r="I198" s="3" t="inlineStr"/>
      <c r="J198" s="3" t="n">
        <v>96</v>
      </c>
      <c r="K198" s="5" t="inlineStr">
        <is>
          <t>choix « native » de Films Around the World</t>
        </is>
      </c>
      <c r="L198" s="5" t="inlineStr">
        <is>
          <t>location : Apple TV Store, YouTube, Sooner ; achat : YouTube, Canal VOD, Sooner</t>
        </is>
      </c>
      <c r="M198" s="6" t="inlineStr">
        <is>
          <t>https://filmsaroundthe.world/country/yemen/films/i-m-nojoum-age-10-and-divorced-f9b86d068ccb9a509/</t>
        </is>
      </c>
      <c r="N198" s="6" t="inlineStr">
        <is>
          <t>https://www.themoviedb.org/movie/341182</t>
        </is>
      </c>
      <c r="O198" s="5" t="inlineStr"/>
      <c r="P198" s="5" t="inlineStr">
        <is>
          <t>انا نجوم بنت العاشرة ومطلقة (2014, 31 votes)</t>
        </is>
      </c>
      <c r="Q198" s="5" t="inlineStr">
        <is>
          <t>I'm Nojoum, Age 10 and Divorced (2014)</t>
        </is>
      </c>
      <c r="R198" s="5" t="inlineStr"/>
      <c r="S198" s="5" t="inlineStr">
        <is>
          <t>Fiche TMDB retrouvée à la main (titre anglais I Am Nojoom). pas de box-office national suivi ou publié trouvé</t>
        </is>
      </c>
    </row>
    <row r="199">
      <c r="A199" s="3" t="inlineStr">
        <is>
          <t>Zambie</t>
        </is>
      </c>
      <c r="B199" s="3" t="inlineStr">
        <is>
          <t>Afrique</t>
        </is>
      </c>
      <c r="C199" s="9" t="inlineStr">
        <is>
          <t>C</t>
        </is>
      </c>
      <c r="D199" s="3" t="inlineStr">
        <is>
          <t>faible (choix éditorial, pas d'audience)</t>
        </is>
      </c>
      <c r="E199" s="3" t="inlineStr">
        <is>
          <t>On Becoming a Guinea Fowl</t>
        </is>
      </c>
      <c r="F199" s="3" t="inlineStr">
        <is>
          <t>On Becoming a Guinea Fowl</t>
        </is>
      </c>
      <c r="G199" s="3" t="inlineStr">
        <is>
          <t>2024</t>
        </is>
      </c>
      <c r="H199" s="3" t="inlineStr">
        <is>
          <t>en</t>
        </is>
      </c>
      <c r="I199" s="3" t="inlineStr"/>
      <c r="J199" s="3" t="n">
        <v>99</v>
      </c>
      <c r="K199" s="5" t="inlineStr">
        <is>
          <t>choix « native » de Films Around the World</t>
        </is>
      </c>
      <c r="L199" s="5" t="inlineStr"/>
      <c r="M199" s="6" t="inlineStr">
        <is>
          <t>https://filmsaroundthe.world/country/zambia/films/on-becoming-a-guinea-fowl-f65047675c0d22ae7/</t>
        </is>
      </c>
      <c r="N199" s="6" t="inlineStr">
        <is>
          <t>https://www.themoviedb.org/movie/1082938</t>
        </is>
      </c>
      <c r="O199" s="5" t="inlineStr"/>
      <c r="P199" s="5" t="inlineStr">
        <is>
          <t>Can You See Us? (2023, 5 votes)</t>
        </is>
      </c>
      <c r="Q199" s="5" t="inlineStr">
        <is>
          <t>On Becoming a Guinea Fowl (2024)</t>
        </is>
      </c>
      <c r="R199" s="5" t="inlineStr"/>
      <c r="S199" s="5" t="inlineStr">
        <is>
          <t>pas de box-office national suivi ou publié trouvé</t>
        </is>
      </c>
    </row>
    <row r="200">
      <c r="A200" s="3" t="inlineStr">
        <is>
          <t>Zimbabwe</t>
        </is>
      </c>
      <c r="B200" s="3" t="inlineStr">
        <is>
          <t>Afrique</t>
        </is>
      </c>
      <c r="C200" s="9" t="inlineStr">
        <is>
          <t>C</t>
        </is>
      </c>
      <c r="D200" s="3" t="inlineStr">
        <is>
          <t>faible (choix éditorial, pas d'audience)</t>
        </is>
      </c>
      <c r="E200" s="3" t="inlineStr">
        <is>
          <t>Flame</t>
        </is>
      </c>
      <c r="F200" s="3" t="inlineStr">
        <is>
          <t>Flame</t>
        </is>
      </c>
      <c r="G200" s="3" t="inlineStr">
        <is>
          <t>1996</t>
        </is>
      </c>
      <c r="H200" s="3" t="inlineStr">
        <is>
          <t>en</t>
        </is>
      </c>
      <c r="I200" s="3" t="inlineStr"/>
      <c r="J200" s="3" t="n">
        <v>87</v>
      </c>
      <c r="K200" s="5" t="inlineStr">
        <is>
          <t>choix « native » de Films Around the World</t>
        </is>
      </c>
      <c r="L200" s="5" t="inlineStr"/>
      <c r="M200" s="6" t="inlineStr">
        <is>
          <t>https://filmsaroundthe.world/country/zimbabwe/films/flame-f48907e7518b3bb59/</t>
        </is>
      </c>
      <c r="N200" s="6" t="inlineStr">
        <is>
          <t>https://www.themoviedb.org/movie/272183</t>
        </is>
      </c>
      <c r="O200" s="5" t="inlineStr"/>
      <c r="P200" s="5" t="inlineStr">
        <is>
          <t>Jit (1990, 7 votes)</t>
        </is>
      </c>
      <c r="Q200" s="5" t="inlineStr">
        <is>
          <t>Flame (1996)</t>
        </is>
      </c>
      <c r="R200" s="5" t="inlineStr"/>
      <c r="S200" s="5" t="inlineStr">
        <is>
          <t>pas de box-office national suivi ou publié trouvé</t>
        </is>
      </c>
    </row>
  </sheetData>
  <hyperlinks>
    <hyperlink xmlns:r="http://schemas.openxmlformats.org/officeDocument/2006/relationships" ref="M2" r:id="rId1"/>
    <hyperlink xmlns:r="http://schemas.openxmlformats.org/officeDocument/2006/relationships" ref="N2" r:id="rId2"/>
    <hyperlink xmlns:r="http://schemas.openxmlformats.org/officeDocument/2006/relationships" ref="M3" r:id="rId3"/>
    <hyperlink xmlns:r="http://schemas.openxmlformats.org/officeDocument/2006/relationships" ref="N3" r:id="rId4"/>
    <hyperlink xmlns:r="http://schemas.openxmlformats.org/officeDocument/2006/relationships" ref="M4" r:id="rId5"/>
    <hyperlink xmlns:r="http://schemas.openxmlformats.org/officeDocument/2006/relationships" ref="N4" r:id="rId6"/>
    <hyperlink xmlns:r="http://schemas.openxmlformats.org/officeDocument/2006/relationships" ref="M5" r:id="rId7"/>
    <hyperlink xmlns:r="http://schemas.openxmlformats.org/officeDocument/2006/relationships" ref="N5" r:id="rId8"/>
    <hyperlink xmlns:r="http://schemas.openxmlformats.org/officeDocument/2006/relationships" ref="M6" r:id="rId9"/>
    <hyperlink xmlns:r="http://schemas.openxmlformats.org/officeDocument/2006/relationships" ref="N6" r:id="rId10"/>
    <hyperlink xmlns:r="http://schemas.openxmlformats.org/officeDocument/2006/relationships" ref="M7" r:id="rId11"/>
    <hyperlink xmlns:r="http://schemas.openxmlformats.org/officeDocument/2006/relationships" ref="N7" r:id="rId12"/>
    <hyperlink xmlns:r="http://schemas.openxmlformats.org/officeDocument/2006/relationships" ref="M8" r:id="rId13"/>
    <hyperlink xmlns:r="http://schemas.openxmlformats.org/officeDocument/2006/relationships" ref="N8" r:id="rId14"/>
    <hyperlink xmlns:r="http://schemas.openxmlformats.org/officeDocument/2006/relationships" ref="M9" r:id="rId15"/>
    <hyperlink xmlns:r="http://schemas.openxmlformats.org/officeDocument/2006/relationships" ref="N9" r:id="rId16"/>
    <hyperlink xmlns:r="http://schemas.openxmlformats.org/officeDocument/2006/relationships" ref="M10" r:id="rId17"/>
    <hyperlink xmlns:r="http://schemas.openxmlformats.org/officeDocument/2006/relationships" ref="N10" r:id="rId18"/>
    <hyperlink xmlns:r="http://schemas.openxmlformats.org/officeDocument/2006/relationships" ref="M11" r:id="rId19"/>
    <hyperlink xmlns:r="http://schemas.openxmlformats.org/officeDocument/2006/relationships" ref="N11" r:id="rId20"/>
    <hyperlink xmlns:r="http://schemas.openxmlformats.org/officeDocument/2006/relationships" ref="M12" r:id="rId21"/>
    <hyperlink xmlns:r="http://schemas.openxmlformats.org/officeDocument/2006/relationships" ref="N12" r:id="rId22"/>
    <hyperlink xmlns:r="http://schemas.openxmlformats.org/officeDocument/2006/relationships" ref="M13" r:id="rId23"/>
    <hyperlink xmlns:r="http://schemas.openxmlformats.org/officeDocument/2006/relationships" ref="N13" r:id="rId24"/>
    <hyperlink xmlns:r="http://schemas.openxmlformats.org/officeDocument/2006/relationships" ref="M14" r:id="rId25"/>
    <hyperlink xmlns:r="http://schemas.openxmlformats.org/officeDocument/2006/relationships" ref="N14" r:id="rId26"/>
    <hyperlink xmlns:r="http://schemas.openxmlformats.org/officeDocument/2006/relationships" ref="M15" r:id="rId27"/>
    <hyperlink xmlns:r="http://schemas.openxmlformats.org/officeDocument/2006/relationships" ref="N15" r:id="rId28"/>
    <hyperlink xmlns:r="http://schemas.openxmlformats.org/officeDocument/2006/relationships" ref="M16" r:id="rId29"/>
    <hyperlink xmlns:r="http://schemas.openxmlformats.org/officeDocument/2006/relationships" ref="N16" r:id="rId30"/>
    <hyperlink xmlns:r="http://schemas.openxmlformats.org/officeDocument/2006/relationships" ref="M17" r:id="rId31"/>
    <hyperlink xmlns:r="http://schemas.openxmlformats.org/officeDocument/2006/relationships" ref="N17" r:id="rId32"/>
    <hyperlink xmlns:r="http://schemas.openxmlformats.org/officeDocument/2006/relationships" ref="M18" r:id="rId33"/>
    <hyperlink xmlns:r="http://schemas.openxmlformats.org/officeDocument/2006/relationships" ref="N18" r:id="rId34"/>
    <hyperlink xmlns:r="http://schemas.openxmlformats.org/officeDocument/2006/relationships" ref="M19" r:id="rId35"/>
    <hyperlink xmlns:r="http://schemas.openxmlformats.org/officeDocument/2006/relationships" ref="N19" r:id="rId36"/>
    <hyperlink xmlns:r="http://schemas.openxmlformats.org/officeDocument/2006/relationships" ref="M20" r:id="rId37"/>
    <hyperlink xmlns:r="http://schemas.openxmlformats.org/officeDocument/2006/relationships" ref="N20" r:id="rId38"/>
    <hyperlink xmlns:r="http://schemas.openxmlformats.org/officeDocument/2006/relationships" ref="M21" r:id="rId39"/>
    <hyperlink xmlns:r="http://schemas.openxmlformats.org/officeDocument/2006/relationships" ref="N21" r:id="rId40"/>
    <hyperlink xmlns:r="http://schemas.openxmlformats.org/officeDocument/2006/relationships" ref="M22" r:id="rId41"/>
    <hyperlink xmlns:r="http://schemas.openxmlformats.org/officeDocument/2006/relationships" ref="N22" r:id="rId42"/>
    <hyperlink xmlns:r="http://schemas.openxmlformats.org/officeDocument/2006/relationships" ref="M23" r:id="rId43"/>
    <hyperlink xmlns:r="http://schemas.openxmlformats.org/officeDocument/2006/relationships" ref="N23" r:id="rId44"/>
    <hyperlink xmlns:r="http://schemas.openxmlformats.org/officeDocument/2006/relationships" ref="M24" r:id="rId45"/>
    <hyperlink xmlns:r="http://schemas.openxmlformats.org/officeDocument/2006/relationships" ref="N24" r:id="rId46"/>
    <hyperlink xmlns:r="http://schemas.openxmlformats.org/officeDocument/2006/relationships" ref="M25" r:id="rId47"/>
    <hyperlink xmlns:r="http://schemas.openxmlformats.org/officeDocument/2006/relationships" ref="N25" r:id="rId48"/>
    <hyperlink xmlns:r="http://schemas.openxmlformats.org/officeDocument/2006/relationships" ref="M26" r:id="rId49"/>
    <hyperlink xmlns:r="http://schemas.openxmlformats.org/officeDocument/2006/relationships" ref="N26" r:id="rId50"/>
    <hyperlink xmlns:r="http://schemas.openxmlformats.org/officeDocument/2006/relationships" ref="M27" r:id="rId51"/>
    <hyperlink xmlns:r="http://schemas.openxmlformats.org/officeDocument/2006/relationships" ref="N27" r:id="rId52"/>
    <hyperlink xmlns:r="http://schemas.openxmlformats.org/officeDocument/2006/relationships" ref="M28" r:id="rId53"/>
    <hyperlink xmlns:r="http://schemas.openxmlformats.org/officeDocument/2006/relationships" ref="N28" r:id="rId54"/>
    <hyperlink xmlns:r="http://schemas.openxmlformats.org/officeDocument/2006/relationships" ref="M29" r:id="rId55"/>
    <hyperlink xmlns:r="http://schemas.openxmlformats.org/officeDocument/2006/relationships" ref="N29" r:id="rId56"/>
    <hyperlink xmlns:r="http://schemas.openxmlformats.org/officeDocument/2006/relationships" ref="M30" r:id="rId57"/>
    <hyperlink xmlns:r="http://schemas.openxmlformats.org/officeDocument/2006/relationships" ref="N30" r:id="rId58"/>
    <hyperlink xmlns:r="http://schemas.openxmlformats.org/officeDocument/2006/relationships" ref="M31" r:id="rId59"/>
    <hyperlink xmlns:r="http://schemas.openxmlformats.org/officeDocument/2006/relationships" ref="N31" r:id="rId60"/>
    <hyperlink xmlns:r="http://schemas.openxmlformats.org/officeDocument/2006/relationships" ref="M32" r:id="rId61"/>
    <hyperlink xmlns:r="http://schemas.openxmlformats.org/officeDocument/2006/relationships" ref="N32" r:id="rId62"/>
    <hyperlink xmlns:r="http://schemas.openxmlformats.org/officeDocument/2006/relationships" ref="M33" r:id="rId63"/>
    <hyperlink xmlns:r="http://schemas.openxmlformats.org/officeDocument/2006/relationships" ref="N33" r:id="rId64"/>
    <hyperlink xmlns:r="http://schemas.openxmlformats.org/officeDocument/2006/relationships" ref="M34" r:id="rId65"/>
    <hyperlink xmlns:r="http://schemas.openxmlformats.org/officeDocument/2006/relationships" ref="N34" r:id="rId66"/>
    <hyperlink xmlns:r="http://schemas.openxmlformats.org/officeDocument/2006/relationships" ref="M35" r:id="rId67"/>
    <hyperlink xmlns:r="http://schemas.openxmlformats.org/officeDocument/2006/relationships" ref="M36" r:id="rId68"/>
    <hyperlink xmlns:r="http://schemas.openxmlformats.org/officeDocument/2006/relationships" ref="N36" r:id="rId69"/>
    <hyperlink xmlns:r="http://schemas.openxmlformats.org/officeDocument/2006/relationships" ref="M37" r:id="rId70"/>
    <hyperlink xmlns:r="http://schemas.openxmlformats.org/officeDocument/2006/relationships" ref="N37" r:id="rId71"/>
    <hyperlink xmlns:r="http://schemas.openxmlformats.org/officeDocument/2006/relationships" ref="M38" r:id="rId72"/>
    <hyperlink xmlns:r="http://schemas.openxmlformats.org/officeDocument/2006/relationships" ref="N38" r:id="rId73"/>
    <hyperlink xmlns:r="http://schemas.openxmlformats.org/officeDocument/2006/relationships" ref="M39" r:id="rId74"/>
    <hyperlink xmlns:r="http://schemas.openxmlformats.org/officeDocument/2006/relationships" ref="N39" r:id="rId75"/>
    <hyperlink xmlns:r="http://schemas.openxmlformats.org/officeDocument/2006/relationships" ref="M40" r:id="rId76"/>
    <hyperlink xmlns:r="http://schemas.openxmlformats.org/officeDocument/2006/relationships" ref="N40" r:id="rId77"/>
    <hyperlink xmlns:r="http://schemas.openxmlformats.org/officeDocument/2006/relationships" ref="M41" r:id="rId78"/>
    <hyperlink xmlns:r="http://schemas.openxmlformats.org/officeDocument/2006/relationships" ref="N41" r:id="rId79"/>
    <hyperlink xmlns:r="http://schemas.openxmlformats.org/officeDocument/2006/relationships" ref="M42" r:id="rId80"/>
    <hyperlink xmlns:r="http://schemas.openxmlformats.org/officeDocument/2006/relationships" ref="N42" r:id="rId81"/>
    <hyperlink xmlns:r="http://schemas.openxmlformats.org/officeDocument/2006/relationships" ref="M43" r:id="rId82"/>
    <hyperlink xmlns:r="http://schemas.openxmlformats.org/officeDocument/2006/relationships" ref="N43" r:id="rId83"/>
    <hyperlink xmlns:r="http://schemas.openxmlformats.org/officeDocument/2006/relationships" ref="M44" r:id="rId84"/>
    <hyperlink xmlns:r="http://schemas.openxmlformats.org/officeDocument/2006/relationships" ref="N44" r:id="rId85"/>
    <hyperlink xmlns:r="http://schemas.openxmlformats.org/officeDocument/2006/relationships" ref="M45" r:id="rId86"/>
    <hyperlink xmlns:r="http://schemas.openxmlformats.org/officeDocument/2006/relationships" ref="N45" r:id="rId87"/>
    <hyperlink xmlns:r="http://schemas.openxmlformats.org/officeDocument/2006/relationships" ref="M46" r:id="rId88"/>
    <hyperlink xmlns:r="http://schemas.openxmlformats.org/officeDocument/2006/relationships" ref="N46" r:id="rId89"/>
    <hyperlink xmlns:r="http://schemas.openxmlformats.org/officeDocument/2006/relationships" ref="M47" r:id="rId90"/>
    <hyperlink xmlns:r="http://schemas.openxmlformats.org/officeDocument/2006/relationships" ref="N47" r:id="rId91"/>
    <hyperlink xmlns:r="http://schemas.openxmlformats.org/officeDocument/2006/relationships" ref="M48" r:id="rId92"/>
    <hyperlink xmlns:r="http://schemas.openxmlformats.org/officeDocument/2006/relationships" ref="N48" r:id="rId93"/>
    <hyperlink xmlns:r="http://schemas.openxmlformats.org/officeDocument/2006/relationships" ref="M49" r:id="rId94"/>
    <hyperlink xmlns:r="http://schemas.openxmlformats.org/officeDocument/2006/relationships" ref="N49" r:id="rId95"/>
    <hyperlink xmlns:r="http://schemas.openxmlformats.org/officeDocument/2006/relationships" ref="M50" r:id="rId96"/>
    <hyperlink xmlns:r="http://schemas.openxmlformats.org/officeDocument/2006/relationships" ref="N50" r:id="rId97"/>
    <hyperlink xmlns:r="http://schemas.openxmlformats.org/officeDocument/2006/relationships" ref="M51" r:id="rId98"/>
    <hyperlink xmlns:r="http://schemas.openxmlformats.org/officeDocument/2006/relationships" ref="N51" r:id="rId99"/>
    <hyperlink xmlns:r="http://schemas.openxmlformats.org/officeDocument/2006/relationships" ref="M52" r:id="rId100"/>
    <hyperlink xmlns:r="http://schemas.openxmlformats.org/officeDocument/2006/relationships" ref="N52" r:id="rId101"/>
    <hyperlink xmlns:r="http://schemas.openxmlformats.org/officeDocument/2006/relationships" ref="M53" r:id="rId102"/>
    <hyperlink xmlns:r="http://schemas.openxmlformats.org/officeDocument/2006/relationships" ref="N53" r:id="rId103"/>
    <hyperlink xmlns:r="http://schemas.openxmlformats.org/officeDocument/2006/relationships" ref="M54" r:id="rId104"/>
    <hyperlink xmlns:r="http://schemas.openxmlformats.org/officeDocument/2006/relationships" ref="N54" r:id="rId105"/>
    <hyperlink xmlns:r="http://schemas.openxmlformats.org/officeDocument/2006/relationships" ref="M55" r:id="rId106"/>
    <hyperlink xmlns:r="http://schemas.openxmlformats.org/officeDocument/2006/relationships" ref="N55" r:id="rId107"/>
    <hyperlink xmlns:r="http://schemas.openxmlformats.org/officeDocument/2006/relationships" ref="M56" r:id="rId108"/>
    <hyperlink xmlns:r="http://schemas.openxmlformats.org/officeDocument/2006/relationships" ref="N56" r:id="rId109"/>
    <hyperlink xmlns:r="http://schemas.openxmlformats.org/officeDocument/2006/relationships" ref="M57" r:id="rId110"/>
    <hyperlink xmlns:r="http://schemas.openxmlformats.org/officeDocument/2006/relationships" ref="N57" r:id="rId111"/>
    <hyperlink xmlns:r="http://schemas.openxmlformats.org/officeDocument/2006/relationships" ref="M58" r:id="rId112"/>
    <hyperlink xmlns:r="http://schemas.openxmlformats.org/officeDocument/2006/relationships" ref="N58" r:id="rId113"/>
    <hyperlink xmlns:r="http://schemas.openxmlformats.org/officeDocument/2006/relationships" ref="M59" r:id="rId114"/>
    <hyperlink xmlns:r="http://schemas.openxmlformats.org/officeDocument/2006/relationships" ref="N59" r:id="rId115"/>
    <hyperlink xmlns:r="http://schemas.openxmlformats.org/officeDocument/2006/relationships" ref="M60" r:id="rId116"/>
    <hyperlink xmlns:r="http://schemas.openxmlformats.org/officeDocument/2006/relationships" ref="N60" r:id="rId117"/>
    <hyperlink xmlns:r="http://schemas.openxmlformats.org/officeDocument/2006/relationships" ref="M61" r:id="rId118"/>
    <hyperlink xmlns:r="http://schemas.openxmlformats.org/officeDocument/2006/relationships" ref="N61" r:id="rId119"/>
    <hyperlink xmlns:r="http://schemas.openxmlformats.org/officeDocument/2006/relationships" ref="M62" r:id="rId120"/>
    <hyperlink xmlns:r="http://schemas.openxmlformats.org/officeDocument/2006/relationships" ref="N62" r:id="rId121"/>
    <hyperlink xmlns:r="http://schemas.openxmlformats.org/officeDocument/2006/relationships" ref="M63" r:id="rId122"/>
    <hyperlink xmlns:r="http://schemas.openxmlformats.org/officeDocument/2006/relationships" ref="N63" r:id="rId123"/>
    <hyperlink xmlns:r="http://schemas.openxmlformats.org/officeDocument/2006/relationships" ref="M64" r:id="rId124"/>
    <hyperlink xmlns:r="http://schemas.openxmlformats.org/officeDocument/2006/relationships" ref="N64" r:id="rId125"/>
    <hyperlink xmlns:r="http://schemas.openxmlformats.org/officeDocument/2006/relationships" ref="M65" r:id="rId126"/>
    <hyperlink xmlns:r="http://schemas.openxmlformats.org/officeDocument/2006/relationships" ref="N65" r:id="rId127"/>
    <hyperlink xmlns:r="http://schemas.openxmlformats.org/officeDocument/2006/relationships" ref="M66" r:id="rId128"/>
    <hyperlink xmlns:r="http://schemas.openxmlformats.org/officeDocument/2006/relationships" ref="N66" r:id="rId129"/>
    <hyperlink xmlns:r="http://schemas.openxmlformats.org/officeDocument/2006/relationships" ref="M67" r:id="rId130"/>
    <hyperlink xmlns:r="http://schemas.openxmlformats.org/officeDocument/2006/relationships" ref="N67" r:id="rId131"/>
    <hyperlink xmlns:r="http://schemas.openxmlformats.org/officeDocument/2006/relationships" ref="M68" r:id="rId132"/>
    <hyperlink xmlns:r="http://schemas.openxmlformats.org/officeDocument/2006/relationships" ref="N68" r:id="rId133"/>
    <hyperlink xmlns:r="http://schemas.openxmlformats.org/officeDocument/2006/relationships" ref="M69" r:id="rId134"/>
    <hyperlink xmlns:r="http://schemas.openxmlformats.org/officeDocument/2006/relationships" ref="N69" r:id="rId135"/>
    <hyperlink xmlns:r="http://schemas.openxmlformats.org/officeDocument/2006/relationships" ref="M70" r:id="rId136"/>
    <hyperlink xmlns:r="http://schemas.openxmlformats.org/officeDocument/2006/relationships" ref="N70" r:id="rId137"/>
    <hyperlink xmlns:r="http://schemas.openxmlformats.org/officeDocument/2006/relationships" ref="M71" r:id="rId138"/>
    <hyperlink xmlns:r="http://schemas.openxmlformats.org/officeDocument/2006/relationships" ref="N71" r:id="rId139"/>
    <hyperlink xmlns:r="http://schemas.openxmlformats.org/officeDocument/2006/relationships" ref="M72" r:id="rId140"/>
    <hyperlink xmlns:r="http://schemas.openxmlformats.org/officeDocument/2006/relationships" ref="N72" r:id="rId141"/>
    <hyperlink xmlns:r="http://schemas.openxmlformats.org/officeDocument/2006/relationships" ref="M73" r:id="rId142"/>
    <hyperlink xmlns:r="http://schemas.openxmlformats.org/officeDocument/2006/relationships" ref="M74" r:id="rId143"/>
    <hyperlink xmlns:r="http://schemas.openxmlformats.org/officeDocument/2006/relationships" ref="N74" r:id="rId144"/>
    <hyperlink xmlns:r="http://schemas.openxmlformats.org/officeDocument/2006/relationships" ref="M75" r:id="rId145"/>
    <hyperlink xmlns:r="http://schemas.openxmlformats.org/officeDocument/2006/relationships" ref="N75" r:id="rId146"/>
    <hyperlink xmlns:r="http://schemas.openxmlformats.org/officeDocument/2006/relationships" ref="M76" r:id="rId147"/>
    <hyperlink xmlns:r="http://schemas.openxmlformats.org/officeDocument/2006/relationships" ref="N76" r:id="rId148"/>
    <hyperlink xmlns:r="http://schemas.openxmlformats.org/officeDocument/2006/relationships" ref="M77" r:id="rId149"/>
    <hyperlink xmlns:r="http://schemas.openxmlformats.org/officeDocument/2006/relationships" ref="N77" r:id="rId150"/>
    <hyperlink xmlns:r="http://schemas.openxmlformats.org/officeDocument/2006/relationships" ref="M78" r:id="rId151"/>
    <hyperlink xmlns:r="http://schemas.openxmlformats.org/officeDocument/2006/relationships" ref="N78" r:id="rId152"/>
    <hyperlink xmlns:r="http://schemas.openxmlformats.org/officeDocument/2006/relationships" ref="M79" r:id="rId153"/>
    <hyperlink xmlns:r="http://schemas.openxmlformats.org/officeDocument/2006/relationships" ref="N79" r:id="rId154"/>
    <hyperlink xmlns:r="http://schemas.openxmlformats.org/officeDocument/2006/relationships" ref="M80" r:id="rId155"/>
    <hyperlink xmlns:r="http://schemas.openxmlformats.org/officeDocument/2006/relationships" ref="N80" r:id="rId156"/>
    <hyperlink xmlns:r="http://schemas.openxmlformats.org/officeDocument/2006/relationships" ref="M81" r:id="rId157"/>
    <hyperlink xmlns:r="http://schemas.openxmlformats.org/officeDocument/2006/relationships" ref="N81" r:id="rId158"/>
    <hyperlink xmlns:r="http://schemas.openxmlformats.org/officeDocument/2006/relationships" ref="M82" r:id="rId159"/>
    <hyperlink xmlns:r="http://schemas.openxmlformats.org/officeDocument/2006/relationships" ref="N82" r:id="rId160"/>
    <hyperlink xmlns:r="http://schemas.openxmlformats.org/officeDocument/2006/relationships" ref="M83" r:id="rId161"/>
    <hyperlink xmlns:r="http://schemas.openxmlformats.org/officeDocument/2006/relationships" ref="N83" r:id="rId162"/>
    <hyperlink xmlns:r="http://schemas.openxmlformats.org/officeDocument/2006/relationships" ref="M84" r:id="rId163"/>
    <hyperlink xmlns:r="http://schemas.openxmlformats.org/officeDocument/2006/relationships" ref="N84" r:id="rId164"/>
    <hyperlink xmlns:r="http://schemas.openxmlformats.org/officeDocument/2006/relationships" ref="M85" r:id="rId165"/>
    <hyperlink xmlns:r="http://schemas.openxmlformats.org/officeDocument/2006/relationships" ref="N85" r:id="rId166"/>
    <hyperlink xmlns:r="http://schemas.openxmlformats.org/officeDocument/2006/relationships" ref="M86" r:id="rId167"/>
    <hyperlink xmlns:r="http://schemas.openxmlformats.org/officeDocument/2006/relationships" ref="N86" r:id="rId168"/>
    <hyperlink xmlns:r="http://schemas.openxmlformats.org/officeDocument/2006/relationships" ref="M87" r:id="rId169"/>
    <hyperlink xmlns:r="http://schemas.openxmlformats.org/officeDocument/2006/relationships" ref="N87" r:id="rId170"/>
    <hyperlink xmlns:r="http://schemas.openxmlformats.org/officeDocument/2006/relationships" ref="M88" r:id="rId171"/>
    <hyperlink xmlns:r="http://schemas.openxmlformats.org/officeDocument/2006/relationships" ref="N88" r:id="rId172"/>
    <hyperlink xmlns:r="http://schemas.openxmlformats.org/officeDocument/2006/relationships" ref="M89" r:id="rId173"/>
    <hyperlink xmlns:r="http://schemas.openxmlformats.org/officeDocument/2006/relationships" ref="N89" r:id="rId174"/>
    <hyperlink xmlns:r="http://schemas.openxmlformats.org/officeDocument/2006/relationships" ref="M90" r:id="rId175"/>
    <hyperlink xmlns:r="http://schemas.openxmlformats.org/officeDocument/2006/relationships" ref="N90" r:id="rId176"/>
    <hyperlink xmlns:r="http://schemas.openxmlformats.org/officeDocument/2006/relationships" ref="M91" r:id="rId177"/>
    <hyperlink xmlns:r="http://schemas.openxmlformats.org/officeDocument/2006/relationships" ref="N91" r:id="rId178"/>
    <hyperlink xmlns:r="http://schemas.openxmlformats.org/officeDocument/2006/relationships" ref="M92" r:id="rId179"/>
    <hyperlink xmlns:r="http://schemas.openxmlformats.org/officeDocument/2006/relationships" ref="N92" r:id="rId180"/>
    <hyperlink xmlns:r="http://schemas.openxmlformats.org/officeDocument/2006/relationships" ref="M93" r:id="rId181"/>
    <hyperlink xmlns:r="http://schemas.openxmlformats.org/officeDocument/2006/relationships" ref="N93" r:id="rId182"/>
    <hyperlink xmlns:r="http://schemas.openxmlformats.org/officeDocument/2006/relationships" ref="M94" r:id="rId183"/>
    <hyperlink xmlns:r="http://schemas.openxmlformats.org/officeDocument/2006/relationships" ref="N94" r:id="rId184"/>
    <hyperlink xmlns:r="http://schemas.openxmlformats.org/officeDocument/2006/relationships" ref="M95" r:id="rId185"/>
    <hyperlink xmlns:r="http://schemas.openxmlformats.org/officeDocument/2006/relationships" ref="N95" r:id="rId186"/>
    <hyperlink xmlns:r="http://schemas.openxmlformats.org/officeDocument/2006/relationships" ref="M96" r:id="rId187"/>
    <hyperlink xmlns:r="http://schemas.openxmlformats.org/officeDocument/2006/relationships" ref="N96" r:id="rId188"/>
    <hyperlink xmlns:r="http://schemas.openxmlformats.org/officeDocument/2006/relationships" ref="M97" r:id="rId189"/>
    <hyperlink xmlns:r="http://schemas.openxmlformats.org/officeDocument/2006/relationships" ref="N97" r:id="rId190"/>
    <hyperlink xmlns:r="http://schemas.openxmlformats.org/officeDocument/2006/relationships" ref="M98" r:id="rId191"/>
    <hyperlink xmlns:r="http://schemas.openxmlformats.org/officeDocument/2006/relationships" ref="N98" r:id="rId192"/>
    <hyperlink xmlns:r="http://schemas.openxmlformats.org/officeDocument/2006/relationships" ref="M99" r:id="rId193"/>
    <hyperlink xmlns:r="http://schemas.openxmlformats.org/officeDocument/2006/relationships" ref="N99" r:id="rId194"/>
    <hyperlink xmlns:r="http://schemas.openxmlformats.org/officeDocument/2006/relationships" ref="M100" r:id="rId195"/>
    <hyperlink xmlns:r="http://schemas.openxmlformats.org/officeDocument/2006/relationships" ref="N100" r:id="rId196"/>
    <hyperlink xmlns:r="http://schemas.openxmlformats.org/officeDocument/2006/relationships" ref="M101" r:id="rId197"/>
    <hyperlink xmlns:r="http://schemas.openxmlformats.org/officeDocument/2006/relationships" ref="N101" r:id="rId198"/>
    <hyperlink xmlns:r="http://schemas.openxmlformats.org/officeDocument/2006/relationships" ref="M102" r:id="rId199"/>
    <hyperlink xmlns:r="http://schemas.openxmlformats.org/officeDocument/2006/relationships" ref="N102" r:id="rId200"/>
    <hyperlink xmlns:r="http://schemas.openxmlformats.org/officeDocument/2006/relationships" ref="M103" r:id="rId201"/>
    <hyperlink xmlns:r="http://schemas.openxmlformats.org/officeDocument/2006/relationships" ref="N103" r:id="rId202"/>
    <hyperlink xmlns:r="http://schemas.openxmlformats.org/officeDocument/2006/relationships" ref="M104" r:id="rId203"/>
    <hyperlink xmlns:r="http://schemas.openxmlformats.org/officeDocument/2006/relationships" ref="N104" r:id="rId204"/>
    <hyperlink xmlns:r="http://schemas.openxmlformats.org/officeDocument/2006/relationships" ref="M105" r:id="rId205"/>
    <hyperlink xmlns:r="http://schemas.openxmlformats.org/officeDocument/2006/relationships" ref="N105" r:id="rId206"/>
    <hyperlink xmlns:r="http://schemas.openxmlformats.org/officeDocument/2006/relationships" ref="M106" r:id="rId207"/>
    <hyperlink xmlns:r="http://schemas.openxmlformats.org/officeDocument/2006/relationships" ref="N106" r:id="rId208"/>
    <hyperlink xmlns:r="http://schemas.openxmlformats.org/officeDocument/2006/relationships" ref="M107" r:id="rId209"/>
    <hyperlink xmlns:r="http://schemas.openxmlformats.org/officeDocument/2006/relationships" ref="N107" r:id="rId210"/>
    <hyperlink xmlns:r="http://schemas.openxmlformats.org/officeDocument/2006/relationships" ref="M108" r:id="rId211"/>
    <hyperlink xmlns:r="http://schemas.openxmlformats.org/officeDocument/2006/relationships" ref="N108" r:id="rId212"/>
    <hyperlink xmlns:r="http://schemas.openxmlformats.org/officeDocument/2006/relationships" ref="M109" r:id="rId213"/>
    <hyperlink xmlns:r="http://schemas.openxmlformats.org/officeDocument/2006/relationships" ref="N109" r:id="rId214"/>
    <hyperlink xmlns:r="http://schemas.openxmlformats.org/officeDocument/2006/relationships" ref="M110" r:id="rId215"/>
    <hyperlink xmlns:r="http://schemas.openxmlformats.org/officeDocument/2006/relationships" ref="N110" r:id="rId216"/>
    <hyperlink xmlns:r="http://schemas.openxmlformats.org/officeDocument/2006/relationships" ref="M111" r:id="rId217"/>
    <hyperlink xmlns:r="http://schemas.openxmlformats.org/officeDocument/2006/relationships" ref="N111" r:id="rId218"/>
    <hyperlink xmlns:r="http://schemas.openxmlformats.org/officeDocument/2006/relationships" ref="M112" r:id="rId219"/>
    <hyperlink xmlns:r="http://schemas.openxmlformats.org/officeDocument/2006/relationships" ref="N112" r:id="rId220"/>
    <hyperlink xmlns:r="http://schemas.openxmlformats.org/officeDocument/2006/relationships" ref="M113" r:id="rId221"/>
    <hyperlink xmlns:r="http://schemas.openxmlformats.org/officeDocument/2006/relationships" ref="N113" r:id="rId222"/>
    <hyperlink xmlns:r="http://schemas.openxmlformats.org/officeDocument/2006/relationships" ref="M114" r:id="rId223"/>
    <hyperlink xmlns:r="http://schemas.openxmlformats.org/officeDocument/2006/relationships" ref="N114" r:id="rId224"/>
    <hyperlink xmlns:r="http://schemas.openxmlformats.org/officeDocument/2006/relationships" ref="M115" r:id="rId225"/>
    <hyperlink xmlns:r="http://schemas.openxmlformats.org/officeDocument/2006/relationships" ref="N115" r:id="rId226"/>
    <hyperlink xmlns:r="http://schemas.openxmlformats.org/officeDocument/2006/relationships" ref="M116" r:id="rId227"/>
    <hyperlink xmlns:r="http://schemas.openxmlformats.org/officeDocument/2006/relationships" ref="N116" r:id="rId228"/>
    <hyperlink xmlns:r="http://schemas.openxmlformats.org/officeDocument/2006/relationships" ref="M117" r:id="rId229"/>
    <hyperlink xmlns:r="http://schemas.openxmlformats.org/officeDocument/2006/relationships" ref="N117" r:id="rId230"/>
    <hyperlink xmlns:r="http://schemas.openxmlformats.org/officeDocument/2006/relationships" ref="M118" r:id="rId231"/>
    <hyperlink xmlns:r="http://schemas.openxmlformats.org/officeDocument/2006/relationships" ref="M119" r:id="rId232"/>
    <hyperlink xmlns:r="http://schemas.openxmlformats.org/officeDocument/2006/relationships" ref="N119" r:id="rId233"/>
    <hyperlink xmlns:r="http://schemas.openxmlformats.org/officeDocument/2006/relationships" ref="M120" r:id="rId234"/>
    <hyperlink xmlns:r="http://schemas.openxmlformats.org/officeDocument/2006/relationships" ref="N120" r:id="rId235"/>
    <hyperlink xmlns:r="http://schemas.openxmlformats.org/officeDocument/2006/relationships" ref="M122" r:id="rId236"/>
    <hyperlink xmlns:r="http://schemas.openxmlformats.org/officeDocument/2006/relationships" ref="N122" r:id="rId237"/>
    <hyperlink xmlns:r="http://schemas.openxmlformats.org/officeDocument/2006/relationships" ref="M123" r:id="rId238"/>
    <hyperlink xmlns:r="http://schemas.openxmlformats.org/officeDocument/2006/relationships" ref="N123" r:id="rId239"/>
    <hyperlink xmlns:r="http://schemas.openxmlformats.org/officeDocument/2006/relationships" ref="M124" r:id="rId240"/>
    <hyperlink xmlns:r="http://schemas.openxmlformats.org/officeDocument/2006/relationships" ref="N124" r:id="rId241"/>
    <hyperlink xmlns:r="http://schemas.openxmlformats.org/officeDocument/2006/relationships" ref="M125" r:id="rId242"/>
    <hyperlink xmlns:r="http://schemas.openxmlformats.org/officeDocument/2006/relationships" ref="N125" r:id="rId243"/>
    <hyperlink xmlns:r="http://schemas.openxmlformats.org/officeDocument/2006/relationships" ref="M126" r:id="rId244"/>
    <hyperlink xmlns:r="http://schemas.openxmlformats.org/officeDocument/2006/relationships" ref="N126" r:id="rId245"/>
    <hyperlink xmlns:r="http://schemas.openxmlformats.org/officeDocument/2006/relationships" ref="M127" r:id="rId246"/>
    <hyperlink xmlns:r="http://schemas.openxmlformats.org/officeDocument/2006/relationships" ref="N127" r:id="rId247"/>
    <hyperlink xmlns:r="http://schemas.openxmlformats.org/officeDocument/2006/relationships" ref="M128" r:id="rId248"/>
    <hyperlink xmlns:r="http://schemas.openxmlformats.org/officeDocument/2006/relationships" ref="N128" r:id="rId249"/>
    <hyperlink xmlns:r="http://schemas.openxmlformats.org/officeDocument/2006/relationships" ref="M129" r:id="rId250"/>
    <hyperlink xmlns:r="http://schemas.openxmlformats.org/officeDocument/2006/relationships" ref="N129" r:id="rId251"/>
    <hyperlink xmlns:r="http://schemas.openxmlformats.org/officeDocument/2006/relationships" ref="M130" r:id="rId252"/>
    <hyperlink xmlns:r="http://schemas.openxmlformats.org/officeDocument/2006/relationships" ref="N130" r:id="rId253"/>
    <hyperlink xmlns:r="http://schemas.openxmlformats.org/officeDocument/2006/relationships" ref="M131" r:id="rId254"/>
    <hyperlink xmlns:r="http://schemas.openxmlformats.org/officeDocument/2006/relationships" ref="N131" r:id="rId255"/>
    <hyperlink xmlns:r="http://schemas.openxmlformats.org/officeDocument/2006/relationships" ref="M132" r:id="rId256"/>
    <hyperlink xmlns:r="http://schemas.openxmlformats.org/officeDocument/2006/relationships" ref="N132" r:id="rId257"/>
    <hyperlink xmlns:r="http://schemas.openxmlformats.org/officeDocument/2006/relationships" ref="M133" r:id="rId258"/>
    <hyperlink xmlns:r="http://schemas.openxmlformats.org/officeDocument/2006/relationships" ref="N133" r:id="rId259"/>
    <hyperlink xmlns:r="http://schemas.openxmlformats.org/officeDocument/2006/relationships" ref="M134" r:id="rId260"/>
    <hyperlink xmlns:r="http://schemas.openxmlformats.org/officeDocument/2006/relationships" ref="N134" r:id="rId261"/>
    <hyperlink xmlns:r="http://schemas.openxmlformats.org/officeDocument/2006/relationships" ref="M135" r:id="rId262"/>
    <hyperlink xmlns:r="http://schemas.openxmlformats.org/officeDocument/2006/relationships" ref="N135" r:id="rId263"/>
    <hyperlink xmlns:r="http://schemas.openxmlformats.org/officeDocument/2006/relationships" ref="M136" r:id="rId264"/>
    <hyperlink xmlns:r="http://schemas.openxmlformats.org/officeDocument/2006/relationships" ref="N136" r:id="rId265"/>
    <hyperlink xmlns:r="http://schemas.openxmlformats.org/officeDocument/2006/relationships" ref="M137" r:id="rId266"/>
    <hyperlink xmlns:r="http://schemas.openxmlformats.org/officeDocument/2006/relationships" ref="N137" r:id="rId267"/>
    <hyperlink xmlns:r="http://schemas.openxmlformats.org/officeDocument/2006/relationships" ref="M138" r:id="rId268"/>
    <hyperlink xmlns:r="http://schemas.openxmlformats.org/officeDocument/2006/relationships" ref="N138" r:id="rId269"/>
    <hyperlink xmlns:r="http://schemas.openxmlformats.org/officeDocument/2006/relationships" ref="M140" r:id="rId270"/>
    <hyperlink xmlns:r="http://schemas.openxmlformats.org/officeDocument/2006/relationships" ref="N140" r:id="rId271"/>
    <hyperlink xmlns:r="http://schemas.openxmlformats.org/officeDocument/2006/relationships" ref="M141" r:id="rId272"/>
    <hyperlink xmlns:r="http://schemas.openxmlformats.org/officeDocument/2006/relationships" ref="N141" r:id="rId273"/>
    <hyperlink xmlns:r="http://schemas.openxmlformats.org/officeDocument/2006/relationships" ref="M142" r:id="rId274"/>
    <hyperlink xmlns:r="http://schemas.openxmlformats.org/officeDocument/2006/relationships" ref="N142" r:id="rId275"/>
    <hyperlink xmlns:r="http://schemas.openxmlformats.org/officeDocument/2006/relationships" ref="M143" r:id="rId276"/>
    <hyperlink xmlns:r="http://schemas.openxmlformats.org/officeDocument/2006/relationships" ref="N143" r:id="rId277"/>
    <hyperlink xmlns:r="http://schemas.openxmlformats.org/officeDocument/2006/relationships" ref="M144" r:id="rId278"/>
    <hyperlink xmlns:r="http://schemas.openxmlformats.org/officeDocument/2006/relationships" ref="N144" r:id="rId279"/>
    <hyperlink xmlns:r="http://schemas.openxmlformats.org/officeDocument/2006/relationships" ref="M145" r:id="rId280"/>
    <hyperlink xmlns:r="http://schemas.openxmlformats.org/officeDocument/2006/relationships" ref="N145" r:id="rId281"/>
    <hyperlink xmlns:r="http://schemas.openxmlformats.org/officeDocument/2006/relationships" ref="M146" r:id="rId282"/>
    <hyperlink xmlns:r="http://schemas.openxmlformats.org/officeDocument/2006/relationships" ref="N146" r:id="rId283"/>
    <hyperlink xmlns:r="http://schemas.openxmlformats.org/officeDocument/2006/relationships" ref="M147" r:id="rId284"/>
    <hyperlink xmlns:r="http://schemas.openxmlformats.org/officeDocument/2006/relationships" ref="N147" r:id="rId285"/>
    <hyperlink xmlns:r="http://schemas.openxmlformats.org/officeDocument/2006/relationships" ref="M148" r:id="rId286"/>
    <hyperlink xmlns:r="http://schemas.openxmlformats.org/officeDocument/2006/relationships" ref="N148" r:id="rId287"/>
    <hyperlink xmlns:r="http://schemas.openxmlformats.org/officeDocument/2006/relationships" ref="M149" r:id="rId288"/>
    <hyperlink xmlns:r="http://schemas.openxmlformats.org/officeDocument/2006/relationships" ref="N149" r:id="rId289"/>
    <hyperlink xmlns:r="http://schemas.openxmlformats.org/officeDocument/2006/relationships" ref="M150" r:id="rId290"/>
    <hyperlink xmlns:r="http://schemas.openxmlformats.org/officeDocument/2006/relationships" ref="N150" r:id="rId291"/>
    <hyperlink xmlns:r="http://schemas.openxmlformats.org/officeDocument/2006/relationships" ref="M151" r:id="rId292"/>
    <hyperlink xmlns:r="http://schemas.openxmlformats.org/officeDocument/2006/relationships" ref="N151" r:id="rId293"/>
    <hyperlink xmlns:r="http://schemas.openxmlformats.org/officeDocument/2006/relationships" ref="M152" r:id="rId294"/>
    <hyperlink xmlns:r="http://schemas.openxmlformats.org/officeDocument/2006/relationships" ref="N152" r:id="rId295"/>
    <hyperlink xmlns:r="http://schemas.openxmlformats.org/officeDocument/2006/relationships" ref="M153" r:id="rId296"/>
    <hyperlink xmlns:r="http://schemas.openxmlformats.org/officeDocument/2006/relationships" ref="N153" r:id="rId297"/>
    <hyperlink xmlns:r="http://schemas.openxmlformats.org/officeDocument/2006/relationships" ref="M154" r:id="rId298"/>
    <hyperlink xmlns:r="http://schemas.openxmlformats.org/officeDocument/2006/relationships" ref="N154" r:id="rId299"/>
    <hyperlink xmlns:r="http://schemas.openxmlformats.org/officeDocument/2006/relationships" ref="M155" r:id="rId300"/>
    <hyperlink xmlns:r="http://schemas.openxmlformats.org/officeDocument/2006/relationships" ref="N155" r:id="rId301"/>
    <hyperlink xmlns:r="http://schemas.openxmlformats.org/officeDocument/2006/relationships" ref="M157" r:id="rId302"/>
    <hyperlink xmlns:r="http://schemas.openxmlformats.org/officeDocument/2006/relationships" ref="N157" r:id="rId303"/>
    <hyperlink xmlns:r="http://schemas.openxmlformats.org/officeDocument/2006/relationships" ref="M158" r:id="rId304"/>
    <hyperlink xmlns:r="http://schemas.openxmlformats.org/officeDocument/2006/relationships" ref="N158" r:id="rId305"/>
    <hyperlink xmlns:r="http://schemas.openxmlformats.org/officeDocument/2006/relationships" ref="M159" r:id="rId306"/>
    <hyperlink xmlns:r="http://schemas.openxmlformats.org/officeDocument/2006/relationships" ref="N159" r:id="rId307"/>
    <hyperlink xmlns:r="http://schemas.openxmlformats.org/officeDocument/2006/relationships" ref="M160" r:id="rId308"/>
    <hyperlink xmlns:r="http://schemas.openxmlformats.org/officeDocument/2006/relationships" ref="N160" r:id="rId309"/>
    <hyperlink xmlns:r="http://schemas.openxmlformats.org/officeDocument/2006/relationships" ref="M161" r:id="rId310"/>
    <hyperlink xmlns:r="http://schemas.openxmlformats.org/officeDocument/2006/relationships" ref="N161" r:id="rId311"/>
    <hyperlink xmlns:r="http://schemas.openxmlformats.org/officeDocument/2006/relationships" ref="M162" r:id="rId312"/>
    <hyperlink xmlns:r="http://schemas.openxmlformats.org/officeDocument/2006/relationships" ref="N162" r:id="rId313"/>
    <hyperlink xmlns:r="http://schemas.openxmlformats.org/officeDocument/2006/relationships" ref="M163" r:id="rId314"/>
    <hyperlink xmlns:r="http://schemas.openxmlformats.org/officeDocument/2006/relationships" ref="M164" r:id="rId315"/>
    <hyperlink xmlns:r="http://schemas.openxmlformats.org/officeDocument/2006/relationships" ref="N164" r:id="rId316"/>
    <hyperlink xmlns:r="http://schemas.openxmlformats.org/officeDocument/2006/relationships" ref="M165" r:id="rId317"/>
    <hyperlink xmlns:r="http://schemas.openxmlformats.org/officeDocument/2006/relationships" ref="N165" r:id="rId318"/>
    <hyperlink xmlns:r="http://schemas.openxmlformats.org/officeDocument/2006/relationships" ref="M166" r:id="rId319"/>
    <hyperlink xmlns:r="http://schemas.openxmlformats.org/officeDocument/2006/relationships" ref="N166" r:id="rId320"/>
    <hyperlink xmlns:r="http://schemas.openxmlformats.org/officeDocument/2006/relationships" ref="M167" r:id="rId321"/>
    <hyperlink xmlns:r="http://schemas.openxmlformats.org/officeDocument/2006/relationships" ref="N167" r:id="rId322"/>
    <hyperlink xmlns:r="http://schemas.openxmlformats.org/officeDocument/2006/relationships" ref="M168" r:id="rId323"/>
    <hyperlink xmlns:r="http://schemas.openxmlformats.org/officeDocument/2006/relationships" ref="N168" r:id="rId324"/>
    <hyperlink xmlns:r="http://schemas.openxmlformats.org/officeDocument/2006/relationships" ref="M169" r:id="rId325"/>
    <hyperlink xmlns:r="http://schemas.openxmlformats.org/officeDocument/2006/relationships" ref="N169" r:id="rId326"/>
    <hyperlink xmlns:r="http://schemas.openxmlformats.org/officeDocument/2006/relationships" ref="M170" r:id="rId327"/>
    <hyperlink xmlns:r="http://schemas.openxmlformats.org/officeDocument/2006/relationships" ref="N170" r:id="rId328"/>
    <hyperlink xmlns:r="http://schemas.openxmlformats.org/officeDocument/2006/relationships" ref="M171" r:id="rId329"/>
    <hyperlink xmlns:r="http://schemas.openxmlformats.org/officeDocument/2006/relationships" ref="N171" r:id="rId330"/>
    <hyperlink xmlns:r="http://schemas.openxmlformats.org/officeDocument/2006/relationships" ref="M172" r:id="rId331"/>
    <hyperlink xmlns:r="http://schemas.openxmlformats.org/officeDocument/2006/relationships" ref="N172" r:id="rId332"/>
    <hyperlink xmlns:r="http://schemas.openxmlformats.org/officeDocument/2006/relationships" ref="M173" r:id="rId333"/>
    <hyperlink xmlns:r="http://schemas.openxmlformats.org/officeDocument/2006/relationships" ref="N173" r:id="rId334"/>
    <hyperlink xmlns:r="http://schemas.openxmlformats.org/officeDocument/2006/relationships" ref="M174" r:id="rId335"/>
    <hyperlink xmlns:r="http://schemas.openxmlformats.org/officeDocument/2006/relationships" ref="N174" r:id="rId336"/>
    <hyperlink xmlns:r="http://schemas.openxmlformats.org/officeDocument/2006/relationships" ref="M175" r:id="rId337"/>
    <hyperlink xmlns:r="http://schemas.openxmlformats.org/officeDocument/2006/relationships" ref="N175" r:id="rId338"/>
    <hyperlink xmlns:r="http://schemas.openxmlformats.org/officeDocument/2006/relationships" ref="M176" r:id="rId339"/>
    <hyperlink xmlns:r="http://schemas.openxmlformats.org/officeDocument/2006/relationships" ref="N176" r:id="rId340"/>
    <hyperlink xmlns:r="http://schemas.openxmlformats.org/officeDocument/2006/relationships" ref="M177" r:id="rId341"/>
    <hyperlink xmlns:r="http://schemas.openxmlformats.org/officeDocument/2006/relationships" ref="N177" r:id="rId342"/>
    <hyperlink xmlns:r="http://schemas.openxmlformats.org/officeDocument/2006/relationships" ref="M178" r:id="rId343"/>
    <hyperlink xmlns:r="http://schemas.openxmlformats.org/officeDocument/2006/relationships" ref="N178" r:id="rId344"/>
    <hyperlink xmlns:r="http://schemas.openxmlformats.org/officeDocument/2006/relationships" ref="M179" r:id="rId345"/>
    <hyperlink xmlns:r="http://schemas.openxmlformats.org/officeDocument/2006/relationships" ref="N179" r:id="rId346"/>
    <hyperlink xmlns:r="http://schemas.openxmlformats.org/officeDocument/2006/relationships" ref="M180" r:id="rId347"/>
    <hyperlink xmlns:r="http://schemas.openxmlformats.org/officeDocument/2006/relationships" ref="N180" r:id="rId348"/>
    <hyperlink xmlns:r="http://schemas.openxmlformats.org/officeDocument/2006/relationships" ref="M181" r:id="rId349"/>
    <hyperlink xmlns:r="http://schemas.openxmlformats.org/officeDocument/2006/relationships" ref="N181" r:id="rId350"/>
    <hyperlink xmlns:r="http://schemas.openxmlformats.org/officeDocument/2006/relationships" ref="M182" r:id="rId351"/>
    <hyperlink xmlns:r="http://schemas.openxmlformats.org/officeDocument/2006/relationships" ref="N182" r:id="rId352"/>
    <hyperlink xmlns:r="http://schemas.openxmlformats.org/officeDocument/2006/relationships" ref="M183" r:id="rId353"/>
    <hyperlink xmlns:r="http://schemas.openxmlformats.org/officeDocument/2006/relationships" ref="N183" r:id="rId354"/>
    <hyperlink xmlns:r="http://schemas.openxmlformats.org/officeDocument/2006/relationships" ref="M184" r:id="rId355"/>
    <hyperlink xmlns:r="http://schemas.openxmlformats.org/officeDocument/2006/relationships" ref="N184" r:id="rId356"/>
    <hyperlink xmlns:r="http://schemas.openxmlformats.org/officeDocument/2006/relationships" ref="M185" r:id="rId357"/>
    <hyperlink xmlns:r="http://schemas.openxmlformats.org/officeDocument/2006/relationships" ref="N185" r:id="rId358"/>
    <hyperlink xmlns:r="http://schemas.openxmlformats.org/officeDocument/2006/relationships" ref="M186" r:id="rId359"/>
    <hyperlink xmlns:r="http://schemas.openxmlformats.org/officeDocument/2006/relationships" ref="N186" r:id="rId360"/>
    <hyperlink xmlns:r="http://schemas.openxmlformats.org/officeDocument/2006/relationships" ref="M187" r:id="rId361"/>
    <hyperlink xmlns:r="http://schemas.openxmlformats.org/officeDocument/2006/relationships" ref="N187" r:id="rId362"/>
    <hyperlink xmlns:r="http://schemas.openxmlformats.org/officeDocument/2006/relationships" ref="M188" r:id="rId363"/>
    <hyperlink xmlns:r="http://schemas.openxmlformats.org/officeDocument/2006/relationships" ref="N188" r:id="rId364"/>
    <hyperlink xmlns:r="http://schemas.openxmlformats.org/officeDocument/2006/relationships" ref="M189" r:id="rId365"/>
    <hyperlink xmlns:r="http://schemas.openxmlformats.org/officeDocument/2006/relationships" ref="N189" r:id="rId366"/>
    <hyperlink xmlns:r="http://schemas.openxmlformats.org/officeDocument/2006/relationships" ref="M190" r:id="rId367"/>
    <hyperlink xmlns:r="http://schemas.openxmlformats.org/officeDocument/2006/relationships" ref="N190" r:id="rId368"/>
    <hyperlink xmlns:r="http://schemas.openxmlformats.org/officeDocument/2006/relationships" ref="M191" r:id="rId369"/>
    <hyperlink xmlns:r="http://schemas.openxmlformats.org/officeDocument/2006/relationships" ref="N191" r:id="rId370"/>
    <hyperlink xmlns:r="http://schemas.openxmlformats.org/officeDocument/2006/relationships" ref="M192" r:id="rId371"/>
    <hyperlink xmlns:r="http://schemas.openxmlformats.org/officeDocument/2006/relationships" ref="N192" r:id="rId372"/>
    <hyperlink xmlns:r="http://schemas.openxmlformats.org/officeDocument/2006/relationships" ref="M193" r:id="rId373"/>
    <hyperlink xmlns:r="http://schemas.openxmlformats.org/officeDocument/2006/relationships" ref="N193" r:id="rId374"/>
    <hyperlink xmlns:r="http://schemas.openxmlformats.org/officeDocument/2006/relationships" ref="M194" r:id="rId375"/>
    <hyperlink xmlns:r="http://schemas.openxmlformats.org/officeDocument/2006/relationships" ref="N194" r:id="rId376"/>
    <hyperlink xmlns:r="http://schemas.openxmlformats.org/officeDocument/2006/relationships" ref="M195" r:id="rId377"/>
    <hyperlink xmlns:r="http://schemas.openxmlformats.org/officeDocument/2006/relationships" ref="N195" r:id="rId378"/>
    <hyperlink xmlns:r="http://schemas.openxmlformats.org/officeDocument/2006/relationships" ref="M196" r:id="rId379"/>
    <hyperlink xmlns:r="http://schemas.openxmlformats.org/officeDocument/2006/relationships" ref="N196" r:id="rId380"/>
    <hyperlink xmlns:r="http://schemas.openxmlformats.org/officeDocument/2006/relationships" ref="M197" r:id="rId381"/>
    <hyperlink xmlns:r="http://schemas.openxmlformats.org/officeDocument/2006/relationships" ref="N197" r:id="rId382"/>
    <hyperlink xmlns:r="http://schemas.openxmlformats.org/officeDocument/2006/relationships" ref="M198" r:id="rId383"/>
    <hyperlink xmlns:r="http://schemas.openxmlformats.org/officeDocument/2006/relationships" ref="N198" r:id="rId384"/>
    <hyperlink xmlns:r="http://schemas.openxmlformats.org/officeDocument/2006/relationships" ref="M199" r:id="rId385"/>
    <hyperlink xmlns:r="http://schemas.openxmlformats.org/officeDocument/2006/relationships" ref="N199" r:id="rId386"/>
    <hyperlink xmlns:r="http://schemas.openxmlformats.org/officeDocument/2006/relationships" ref="M200" r:id="rId387"/>
    <hyperlink xmlns:r="http://schemas.openxmlformats.org/officeDocument/2006/relationships" ref="N200" r:id="rId388"/>
  </hyperlinks>
  <pageMargins left="0.75" right="0.75" top="1" bottom="1" header="0.5" footer="0.5"/>
  <tableParts count="1">
    <tablePart xmlns:r="http://schemas.openxmlformats.org/officeDocument/2006/relationships" r:id="rId389"/>
  </tableParts>
</worksheet>
</file>

<file path=xl/worksheets/sheet2.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12" customWidth="1" min="1" max="1"/>
    <col width="80" customWidth="1" min="2" max="2"/>
    <col width="10" customWidth="1" min="3" max="3"/>
  </cols>
  <sheetData>
    <row r="1">
      <c r="A1" s="11" t="inlineStr">
        <is>
          <t>Niveau</t>
        </is>
      </c>
      <c r="B1" s="11" t="inlineStr">
        <is>
          <t>Signification</t>
        </is>
      </c>
      <c r="C1" s="11" t="inlineStr">
        <is>
          <t>Pays</t>
        </is>
      </c>
    </row>
    <row r="2">
      <c r="A2" s="12" t="inlineStr">
        <is>
          <t>A</t>
        </is>
      </c>
      <c r="B2" s="13" t="inlineStr">
        <is>
          <t>Box-office national sourcé : le film national le plus vu dans le pays</t>
        </is>
      </c>
      <c r="C2" s="13">
        <f>COUNTIF(Films!$C$2:$C$200,"A")</f>
        <v/>
      </c>
    </row>
    <row r="3">
      <c r="A3" s="14" t="inlineStr">
        <is>
          <t>B</t>
        </is>
      </c>
      <c r="B3" s="13" t="inlineStr">
        <is>
          <t>Pas de box-office : film national le plus voté sur TMDB (50 votes ou plus)</t>
        </is>
      </c>
      <c r="C3" s="13">
        <f>COUNTIF(Films!$C$2:$C$200,"B")</f>
        <v/>
      </c>
    </row>
    <row r="4">
      <c r="A4" s="15" t="inlineStr">
        <is>
          <t>C</t>
        </is>
      </c>
      <c r="B4" s="13" t="inlineStr">
        <is>
          <t>Données trop rares : choix éditorial « native » de Films Around the World</t>
        </is>
      </c>
      <c r="C4" s="13">
        <f>COUNTIF(Films!$C$2:$C$200,"C")</f>
        <v/>
      </c>
    </row>
    <row r="5">
      <c r="A5" s="16" t="inlineStr">
        <is>
          <t>D</t>
        </is>
      </c>
      <c r="B5" s="13" t="inlineStr">
        <is>
          <t>Dernier recours : film national le plus voté sur TMDB, moins de 50 votes</t>
        </is>
      </c>
      <c r="C5" s="13">
        <f>COUNTIF(Films!$C$2:$C$200,"D")</f>
        <v/>
      </c>
    </row>
    <row r="6">
      <c r="A6" s="17" t="inlineStr">
        <is>
          <t>-</t>
        </is>
      </c>
      <c r="B6" s="13" t="inlineStr">
        <is>
          <t>Aucun film trouvé</t>
        </is>
      </c>
      <c r="C6" s="13">
        <f>COUNTIF(Films!$C$2:$C$200,"-")</f>
        <v/>
      </c>
    </row>
    <row r="7">
      <c r="A7" s="11" t="inlineStr">
        <is>
          <t>Total</t>
        </is>
      </c>
      <c r="B7" s="13" t="inlineStr"/>
      <c r="C7" s="13">
        <f>SUM(C2:C6)</f>
        <v/>
      </c>
    </row>
    <row r="8">
      <c r="A8" s="13" t="n"/>
      <c r="B8" s="13" t="n"/>
      <c r="C8" s="13" t="n"/>
    </row>
    <row r="9">
      <c r="A9" s="13" t="inlineStr">
        <is>
          <t>Disponibles en France (streaming, location ou achat)</t>
        </is>
      </c>
      <c r="B9" s="13" t="inlineStr"/>
      <c r="C9" s="13">
        <f>COUNTIF(Films!$L$2:$L$200,"?*")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1"/>
  <sheetViews>
    <sheetView workbookViewId="0">
      <selection activeCell="A1" sqref="A1"/>
    </sheetView>
  </sheetViews>
  <sheetFormatPr baseColWidth="8" defaultRowHeight="15"/>
  <cols>
    <col width="120" customWidth="1" min="1" max="1"/>
  </cols>
  <sheetData>
    <row r="1">
      <c r="A1" s="11" t="inlineStr">
        <is>
          <t># Méthode : un film par pays</t>
        </is>
      </c>
    </row>
    <row r="2">
      <c r="A2" s="13" t="inlineStr"/>
    </row>
    <row r="3">
      <c r="A3" s="13" t="inlineStr">
        <is>
          <t>Question posée : quel est le film NATIONAL que les gens de chaque pays ont le plus vu ?</t>
        </is>
      </c>
    </row>
    <row r="4">
      <c r="A4" s="13" t="inlineStr"/>
    </row>
    <row r="5">
      <c r="A5" s="11" t="inlineStr">
        <is>
          <t>## Règles communes</t>
        </is>
      </c>
    </row>
    <row r="6">
      <c r="A6" s="13" t="inlineStr"/>
    </row>
    <row r="7">
      <c r="A7" s="13" t="inlineStr">
        <is>
          <t>- Film national : la production et l'équipe créative viennent principalement du pays. Un financement ou un tournage ne suffit pas.</t>
        </is>
      </c>
    </row>
    <row r="8">
      <c r="A8" s="13" t="inlineStr">
        <is>
          <t>- Langue : une langue parlée dans le pays. Les films tournés en anglais pour l'export sont exclus, sauf dans les pays anglophones.</t>
        </is>
      </c>
    </row>
    <row r="9">
      <c r="A9" s="13" t="inlineStr">
        <is>
          <t>- Long-métrage de fiction. L'animation est acceptée et signalée. Les documentaires sont exclus.</t>
        </is>
      </c>
    </row>
    <row r="10">
      <c r="A10" s="13" t="inlineStr">
        <is>
          <t>- Un même film n'est attribué qu'à un seul pays.</t>
        </is>
      </c>
    </row>
    <row r="11">
      <c r="A11" s="13" t="inlineStr"/>
    </row>
    <row r="12">
      <c r="A12" s="11" t="inlineStr">
        <is>
          <t>## Niveaux, du plus fiable au moins fiable</t>
        </is>
      </c>
    </row>
    <row r="13">
      <c r="A13" s="13" t="inlineStr"/>
    </row>
    <row r="14">
      <c r="A14" s="13" t="inlineStr">
        <is>
          <t>- A : box-office national sourcé. On prend le film national qui a fait le plus d'entrées dans le pays, ou à défaut le plus de recettes nationales. Les recettes mondiales ne comptent pas. Sources : Wikipedia, instituts nationaux du cinéma, base LUMIERE de l'Observatoire européen de l'audiovisuel, presse.</t>
        </is>
      </c>
    </row>
    <row r="15">
      <c r="A15" s="13" t="inlineStr">
        <is>
          <t>- B : pas de box-office. On prend le film du pays le plus voté sur TMDB, à partir de 50 votes, dans une langue du pays, en préférant les films dont le pays est le producteur principal. Ça mesure la notoriété internationale plus que l'audience locale.</t>
        </is>
      </c>
    </row>
    <row r="16">
      <c r="A16" s="13" t="inlineStr">
        <is>
          <t>- C : données trop rares. On prend le premier choix « native voice » de Films Around the World (filmsaroundthe.world), un choix éditorial fondé sur la réputation, pas sur l'audience.</t>
        </is>
      </c>
    </row>
    <row r="17">
      <c r="A17" s="13" t="inlineStr">
        <is>
          <t>- D : dernier recours. On prend le film du pays le plus voté sur TMDB, avec moins de 50 votes.</t>
        </is>
      </c>
    </row>
    <row r="18">
      <c r="A18" s="13" t="inlineStr"/>
    </row>
    <row r="19">
      <c r="A19" s="11" t="inlineStr">
        <is>
          <t>## Limites connues</t>
        </is>
      </c>
    </row>
    <row r="20">
      <c r="A20" s="13" t="inlineStr"/>
    </row>
    <row r="21">
      <c r="A21" s="13" t="inlineStr">
        <is>
          <t>- Les records de niveau A mélangent les époques. Certains pays ont un record ancien et mieux documenté en entrées (Pologne 1960, Royaume-Uni 1948), d'autres un record récent en recettes, gonflé par le prix des billets.</t>
        </is>
      </c>
    </row>
    <row r="22">
      <c r="A22" s="13" t="inlineStr">
        <is>
          <t>- Pour les pays de l'ex-URSS et de l'ex-Yougoslavie, l'attribution des films d'avant l'indépendance est discutable. C'est noté au cas par cas.</t>
        </is>
      </c>
    </row>
    <row r="23">
      <c r="A23" s="13" t="inlineStr">
        <is>
          <t>- Là où le cinéma populaire passe par YouTube ou la vidéo (Somalie, Nollywood, Éthiopie), la colonne « Phénomène vidéo » donne le candidat quand il est connu.</t>
        </is>
      </c>
    </row>
    <row r="24">
      <c r="A24" s="13" t="inlineStr">
        <is>
          <t>- La colonne « Où le voir en France » vient de TMDB (données JustWatch), au moment de l'export.</t>
        </is>
      </c>
    </row>
    <row r="25">
      <c r="A25" s="13" t="inlineStr"/>
    </row>
    <row r="26">
      <c r="A26" s="11" t="inlineStr">
        <is>
          <t>## Projets voisins consultés</t>
        </is>
      </c>
    </row>
    <row r="27">
      <c r="A27" s="13" t="inlineStr"/>
    </row>
    <row r="28">
      <c r="A28" s="13" t="inlineStr">
        <is>
          <t>- Films Around the World : un guide par pays, avec une méthode publique (https://filmsaroundthe.world/methodology/).</t>
        </is>
      </c>
    </row>
    <row r="29">
      <c r="A29" s="13" t="inlineStr">
        <is>
          <t>- EkulRF/BestFilmsByCountry sur GitHub : le film le mieux noté sur TMDB par pays, sans filtre de langue.</t>
        </is>
      </c>
    </row>
    <row r="30">
      <c r="A30" s="13" t="inlineStr">
        <is>
          <t>- Listes Letterboxd « un film par pays » (jamesjonathan, tdieckma, johnmilton), Witterworld (BBC), Movies with Macca.</t>
        </is>
      </c>
    </row>
    <row r="31">
      <c r="A31" s="13" t="inlineStr">
        <is>
          <t>- Wikipedia : catégorie « Lists of highest-grossing films by region ».</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2026-10-23T13:36:58Z</dcterms:created>
  <dcterms:modified xmlns:dcterms="http://purl.org/dc/terms/" xmlns:xsi="http://www.w3.org/2001/XMLSchema-instance" xsi:type="dcterms:W3CDTF">2026-10-23T13:36:58Z</dcterms:modified>
</cp:coreProperties>
</file>